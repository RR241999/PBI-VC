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wellpoint.com/personal/am79279_ad_wellpoint_com/Documents/Desktop/Notes/"/>
    </mc:Choice>
  </mc:AlternateContent>
  <xr:revisionPtr revIDLastSave="1262" documentId="8_{9BC0E6CB-221C-4E21-9446-C3C6FE764222}" xr6:coauthVersionLast="47" xr6:coauthVersionMax="47" xr10:uidLastSave="{FF2E1723-4DAD-4B42-B133-921BD235875A}"/>
  <bookViews>
    <workbookView xWindow="10" yWindow="10" windowWidth="19180" windowHeight="11260" tabRatio="868" activeTab="3" xr2:uid="{682162DD-C710-4887-9CAF-761D4A71AB66}"/>
  </bookViews>
  <sheets>
    <sheet name="Measures" sheetId="1" r:id="rId1"/>
    <sheet name="FACT_EAP_GRP_SUBGRP  " sheetId="2" r:id="rId2"/>
    <sheet name="FACT_EAP_MBR_INCDNT_DTL" sheetId="3" r:id="rId3"/>
    <sheet name="Sheet2" sheetId="12" r:id="rId4"/>
    <sheet name="FACT_EAP_SRVY_DTL" sheetId="4" r:id="rId5"/>
    <sheet name="Column used in srvy table" sheetId="6" r:id="rId6"/>
    <sheet name="Modeling" sheetId="8" r:id="rId7"/>
    <sheet name="Sheet6" sheetId="10" r:id="rId8"/>
    <sheet name="Reporting" sheetId="9" r:id="rId9"/>
    <sheet name="Sheet1" sheetId="11" r:id="rId10"/>
  </sheets>
  <definedNames>
    <definedName name="_xlnm._FilterDatabase" localSheetId="5" hidden="1">'Column used in srvy table'!$A$1:$A$21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1" l="1"/>
  <c r="C13" i="1" s="1"/>
  <c r="C11" i="1"/>
  <c r="B11" i="1"/>
  <c r="E3" i="1"/>
  <c r="E4" i="1"/>
  <c r="E5" i="1"/>
  <c r="E6" i="1"/>
  <c r="E7" i="1"/>
  <c r="E8" i="1"/>
  <c r="E9" i="1"/>
  <c r="E10" i="1"/>
  <c r="E2" i="1"/>
  <c r="E11" i="1" s="1"/>
</calcChain>
</file>

<file path=xl/sharedStrings.xml><?xml version="1.0" encoding="utf-8"?>
<sst xmlns="http://schemas.openxmlformats.org/spreadsheetml/2006/main" count="494" uniqueCount="368">
  <si>
    <t>FACT_EAP_WORK_MBR_MDCL_PROD_DTL</t>
  </si>
  <si>
    <t>Table</t>
  </si>
  <si>
    <t>FACT_EAP_SPRVSR_RFRL_DTL</t>
  </si>
  <si>
    <t>FACT_EAP_MBR_INCDNT_DTL</t>
  </si>
  <si>
    <t>FACT_EAP_MNGMNT_CNSLTTN_DTL</t>
  </si>
  <si>
    <t>FACT_EAP_SRVY_DTL</t>
  </si>
  <si>
    <t>Error</t>
  </si>
  <si>
    <t>Member Eligibility Base</t>
  </si>
  <si>
    <t>cause</t>
  </si>
  <si>
    <t>[EAP MemberMonths]</t>
  </si>
  <si>
    <t>Solution</t>
  </si>
  <si>
    <t>FACT_EAP_GRP_SUBGRP</t>
  </si>
  <si>
    <t>Member Eligibility</t>
  </si>
  <si>
    <t>Member Eligibility PY</t>
  </si>
  <si>
    <t>Member Eligibility %  Change</t>
  </si>
  <si>
    <t>Error in measure</t>
  </si>
  <si>
    <t>Used in report</t>
  </si>
  <si>
    <t>yes</t>
  </si>
  <si>
    <t>Base measuare(TTMedical Members with EAP)</t>
  </si>
  <si>
    <t>PROD_TYPE_DESC</t>
  </si>
  <si>
    <t>PROD_CLS_DESC</t>
  </si>
  <si>
    <t>RPT_PROD_NM</t>
  </si>
  <si>
    <t>EAP MemberMonths</t>
  </si>
  <si>
    <t>IsEAPProductLevel</t>
  </si>
  <si>
    <t>Created depend measures</t>
  </si>
  <si>
    <t>Column imported</t>
  </si>
  <si>
    <t>these missing columns present in raw lakehouse Irewrite the notebook an pull this column in gold and then in modle and the created measures</t>
  </si>
  <si>
    <t>FACT_EAP_WBS_PROD_OUTRCH</t>
  </si>
  <si>
    <t>FACT_EAP_WBS_MBR_SMRY_PROD_SUBCLS</t>
  </si>
  <si>
    <r>
      <t>FACT_EAP_EVNT_DTL</t>
    </r>
    <r>
      <rPr>
        <sz val="10"/>
        <color rgb="FF000000"/>
        <rFont val="Courier New"/>
        <family val="3"/>
      </rPr>
      <t xml:space="preserve"> </t>
    </r>
  </si>
  <si>
    <t>Total</t>
  </si>
  <si>
    <t>Total Completed</t>
  </si>
  <si>
    <t>Created inTabular Editor</t>
  </si>
  <si>
    <t>Created in PBI</t>
  </si>
  <si>
    <t>Total measure</t>
  </si>
  <si>
    <t>No error</t>
  </si>
  <si>
    <t>Created two extra measure to resolve issue currentl no errors</t>
  </si>
  <si>
    <t>Working</t>
  </si>
  <si>
    <t>Sessions Completed Base</t>
  </si>
  <si>
    <t>FACT_INCDNT_SESN</t>
  </si>
  <si>
    <t>Yes as base measure(TT Counseling Sessions Detailed)</t>
  </si>
  <si>
    <t>Desc</t>
  </si>
  <si>
    <t>SR No</t>
  </si>
  <si>
    <t>Sessions Completed</t>
  </si>
  <si>
    <t>Sessions Completed PY</t>
  </si>
  <si>
    <t>Sessions Completed % Change</t>
  </si>
  <si>
    <t>Incidents with Max Sessions Completed Base</t>
  </si>
  <si>
    <t>Incidents with Max Sessions Completed</t>
  </si>
  <si>
    <t>Incidents with Max Sessions Completed PY</t>
  </si>
  <si>
    <t>Incidents with Max Sessions Completed % Change</t>
  </si>
  <si>
    <t>%Incidents with Max Sessions Completed</t>
  </si>
  <si>
    <t>%Incidents with Max Sessions Completed PY</t>
  </si>
  <si>
    <t>%Incidents with Max Sessions Completed % Change</t>
  </si>
  <si>
    <t>Incidents with one session completed Base</t>
  </si>
  <si>
    <t>Incidents with one session completed</t>
  </si>
  <si>
    <t>Total Session Count</t>
  </si>
  <si>
    <t>Session Model Short Code</t>
  </si>
  <si>
    <t>Session Created Year Month</t>
  </si>
  <si>
    <t>Counseling Sessions Base</t>
  </si>
  <si>
    <t xml:space="preserve"> FACT_INCDNT_SESN  </t>
  </si>
  <si>
    <t>Yes as base measure( TT Counseling Incidents)</t>
  </si>
  <si>
    <t>Counseling Incidents</t>
  </si>
  <si>
    <t>Counseling Incidents PY</t>
  </si>
  <si>
    <t>Counseling Incidents % Change</t>
  </si>
  <si>
    <t>Counseling Sessions</t>
  </si>
  <si>
    <t>Used in =&gt;TT Counseling Sessions Main Page</t>
  </si>
  <si>
    <t>Counseling Sessions PY</t>
  </si>
  <si>
    <t>Counseling Sessions % Change</t>
  </si>
  <si>
    <t>Total Counseling Sessions Base</t>
  </si>
  <si>
    <t>Yes as base measure(TTTotal Counseling  Sessions)</t>
  </si>
  <si>
    <t>Total Counseling Sessions</t>
  </si>
  <si>
    <t>Total Counseling Sessions PY</t>
  </si>
  <si>
    <t>Total Counseling Sessions % Change</t>
  </si>
  <si>
    <t>Avg. of Counseling Sessions Completed</t>
  </si>
  <si>
    <t>Avg. of Counseling Sessions Completed PY</t>
  </si>
  <si>
    <t>Avg. of Counseling Sessions Completed % Change</t>
  </si>
  <si>
    <t>Counseling Incidents Base</t>
  </si>
  <si>
    <t>Counseling Incidents for Session Base</t>
  </si>
  <si>
    <t>Counseling Incidents for Session</t>
  </si>
  <si>
    <t>Counseling Incidents for Session PY</t>
  </si>
  <si>
    <t>Counseling Incidents for Session % Change</t>
  </si>
  <si>
    <t xml:space="preserve">FACT_INCDNT_SESN </t>
  </si>
  <si>
    <t>Table name(Cause)</t>
  </si>
  <si>
    <t>TOTL_SESN_CNT</t>
  </si>
  <si>
    <t>Source column name</t>
  </si>
  <si>
    <t>Columns/measure used from D</t>
  </si>
  <si>
    <t>On-Prem schema</t>
  </si>
  <si>
    <t>PRDA_RPTG_ETL_SEMANTIC</t>
  </si>
  <si>
    <t>Source Query</t>
  </si>
  <si>
    <t>let
    Source = Odbc.Query("dsn=P01_PRDA", "select SNAP_YEAR_MNTH_NBR,
    INCDNT_NBR,
    RPTG_MNTH_NBR,
    EAP_SESN_DTM,
    INCDNT_ST_CD,
    PROD_NM,
    FUNDG_CF_CD,
    MBU_CF_CD,
    GRP_CD,
    SESN_MDL_CD,
    EDM_CLNT_GRP_SUBGRP_ACCT_KEY,
    EAP_GRP_ID,CASE WHEN STDALN_CD ='YES' THEN  'YES' ELSE 'NO' END STDALN_CD,
    TOTL_SESN_CNT,TO_CHAR(EAP_SESN_DTM, 'YYYYMM') as EAP_SESN_YEAR_MNTH,
   CASE
        WHEN POSITION('_' IN SESN_MDL_CD) &gt; 0 THEN
            NULLIF(SPLIT_PART(SESN_MDL_CD, '_', 2), 'BY')
        ELSE NULL
    END AS SESN_MDL_SHRT_CD,CALR_TYPE_CD
,INCDNT_ACTY_CD
,INCDNT_PROV_TYPE_CD
,INCDNT_PRSNT_PRBLM_KEY
,INCDNT_SRVC_TYPE_CD
,INCDNT_ENTY_KEY
,EAP_SUBGRP_ID
    from P01_PRDA.PRDA_RPTG_ETL_SEMANTIC.FACT_INCDNT_SESN
WHERE  SNAP_YEAR_MNTH_NBR = (select max(SNAP_YEAR_MNTH_NBR) FROM P01_PRDA.PRDA_RPTG_ETL_SEMANTIC.FACT_INCDNT_SESN)
and TO_CHAR(EAP_SESN_DTM, 'YYYYMM') &gt;= RPTG_MNTH_NBR
and SNAP_YEAR_MNTH_NBR &gt;= TO_CHAR(EAP_SESN_DTM, 'YYYYMM')
")
in
    Source</t>
  </si>
  <si>
    <t>Incident Number</t>
  </si>
  <si>
    <t>Not able to find</t>
  </si>
  <si>
    <t>DIM_INCDNT_SESN</t>
  </si>
  <si>
    <t>Depend on 1 and 2. if 1 and 2 resolve then this will also get resolve</t>
  </si>
  <si>
    <t>yes TT Avg. of Counselling Sessions Completed</t>
  </si>
  <si>
    <t>PRAD_RPTG_ETL_SEMANTIC</t>
  </si>
  <si>
    <t>SESN_MDL_SHRT_CD</t>
  </si>
  <si>
    <t>INCDNT_NBR</t>
  </si>
  <si>
    <t>EAP_SESN_YEAR_MNTH</t>
  </si>
  <si>
    <t>let
    Source = Odbc.Query("dsn=P01_PRDA", "select SNAP_YEAR_MNTH_NBR,
    INCDNT_NBR,
    RPTG_MNTH_NBR,
    EAP_SESN_DTM,
    INCDNT_ST_CD,
    PROD_NM,
    FUNDG_CF_CD,
    MBU_CF_CD,
    GRP_CD,
    SESN_MDL_CD,
    EDM_CLNT_GRP_SUBGRP_ACCT_KEY,
    EAP_GRP_ID,CASE WHEN STDALN_CD ='YES' THEN  'YES' ELSE 'NO' END STDALN_CD,
    TOTL_SESN_CNT,TO_CHAR(EAP_SESN_DTM, 'YYYYMM') as EAP_SESN_YEAR_MNTH,CALR_TYPE_CD
,INCDNT_ACTY_CD
,INCDNT_PROV_TYPE_CD
,INCDNT_PRSNT_PRBLM_KEY
,INCDNT_SRVC_TYPE_CD
,INCDNT_ENTY_KEY
,EAP_SUBGRP_ID
    from P01_PRDA.PRDA_RPTG_ETL_SEMANTIC.FACT_INCDNT_SESN
WHERE  SNAP_YEAR_MNTH_NBR = (select max(SNAP_YEAR_MNTH_NBR) FROM P01_PRDA.PRDA_RPTG_ETL_SEMANTIC.FACT_INCDNT_SESN)
and TO_CHAR(EAP_SESN_DTM, 'YYYYMM') &gt;= RPTG_MNTH_NBR
and SNAP_YEAR_MNTH_NBR &gt;= TO_CHAR(EAP_SESN_DTM, 'YYYYMM')
")
in
    Source</t>
  </si>
  <si>
    <t>Below is Query for DIM</t>
  </si>
  <si>
    <t>let
    Source = Odbc.Query("dsn=P01_PRDA", "select distinct INCDNT_NBR,
    SNAP_YEAR_MNTH_NBR,    
    RPTG_MNTH_NBR,
    TO_CHAR(EAP_SESN_DTM, 'YYYYMM') as EAP_SESN_YEAR_MNTH,
    sum(TOTL_SESN_CNT) SUM_Session_Count
    from P01_PRDA.PRDA_RPTG_ETL_SEMANTIC.FACT_INCDNT_SESN a
WHERE  SNAP_YEAR_MNTH_NBR = (select max(SNAP_YEAR_MNTH_NBR) FROM P01_PRDA.PRDA_RPTG_ETL_SEMANTIC.FACT_INCDNT_SESN)
and TO_CHAR(EAP_SESN_DTM, 'YYYYMM') &gt;= RPTG_MNTH_NBR
and SNAP_YEAR_MNTH_NBR &gt;= TO_CHAR(EAP_SESN_DTM, 'YYYYMM')
group by all
")
in
    Source</t>
  </si>
  <si>
    <t>Identified  issues</t>
  </si>
  <si>
    <t>GAD7 Respondents Base</t>
  </si>
  <si>
    <t>GAD7_MATCH_IND</t>
  </si>
  <si>
    <t>GAD7 Respondents</t>
  </si>
  <si>
    <t>GAD Respondents</t>
  </si>
  <si>
    <t>GAD2 Response Base</t>
  </si>
  <si>
    <t>GAD2 Response</t>
  </si>
  <si>
    <t>GAD Response</t>
  </si>
  <si>
    <t>GAD AnxietyScore Average</t>
  </si>
  <si>
    <t>GAD AnxietyScore Average % Change</t>
  </si>
  <si>
    <t>PHQ9 Respondents Base</t>
  </si>
  <si>
    <t>PHQ9 Respondents</t>
  </si>
  <si>
    <t>PHQ Respondents</t>
  </si>
  <si>
    <t>PHQ9 Response Base</t>
  </si>
  <si>
    <t>PHQ9 Response</t>
  </si>
  <si>
    <t>PHQ Response</t>
  </si>
  <si>
    <t>PHQ Response PY</t>
  </si>
  <si>
    <t>PHQ Response % Change</t>
  </si>
  <si>
    <t>PHQ Respondents PY</t>
  </si>
  <si>
    <t>PHQ Respondents % Change</t>
  </si>
  <si>
    <t>PHQ9_MATCH_IND</t>
  </si>
  <si>
    <t>GAD Response PY</t>
  </si>
  <si>
    <t>GAD Respondents PY</t>
  </si>
  <si>
    <t>Estimated Total Absent Hours (in last 30days) Total</t>
  </si>
  <si>
    <t>Absence Hours Category</t>
  </si>
  <si>
    <t>Estimated Total Absent Hours (in last 30days) Total PY</t>
  </si>
  <si>
    <t>GAD AnxietyScore Average PY</t>
  </si>
  <si>
    <t>GAD Response % Change</t>
  </si>
  <si>
    <t>GAD Respondents % Change</t>
  </si>
  <si>
    <t>Yes(Drill through Anxiety)</t>
  </si>
  <si>
    <t>Yes(Drill through Depression)</t>
  </si>
  <si>
    <t>NO</t>
  </si>
  <si>
    <t>PHQ DepressionScore Average</t>
  </si>
  <si>
    <t>PHQ DepressionScore Average PY</t>
  </si>
  <si>
    <t>PHQ DepressionScore Average % Change</t>
  </si>
  <si>
    <t>SuperScoreResponseDrilthrough</t>
  </si>
  <si>
    <t>Estimated Total Absent Hours (in last 30days) DrillThrough</t>
  </si>
  <si>
    <t>Reply Text</t>
  </si>
  <si>
    <t>Reply Text_sort</t>
  </si>
  <si>
    <t>DIM_EAP_SRVY_WOS</t>
  </si>
  <si>
    <t>Title Name</t>
  </si>
  <si>
    <t>SuperScore Response Total</t>
  </si>
  <si>
    <t>SuperScore ResponseInitial to FollowUp</t>
  </si>
  <si>
    <t>SRVY_TYPE_NM_SORT</t>
  </si>
  <si>
    <t>Survey Type Name</t>
  </si>
  <si>
    <t>Job Performance ResponseInitial to FollowUp</t>
  </si>
  <si>
    <t>Job Performance improved</t>
  </si>
  <si>
    <t>JOB_PERF_IMPROVE_IND</t>
  </si>
  <si>
    <t>SuperScoreImproved</t>
  </si>
  <si>
    <t>WOS_IMPROVE_IND</t>
  </si>
  <si>
    <t>PHQ9 Respondents Improved Base</t>
  </si>
  <si>
    <t>PHQ9_IMPROVE_IND</t>
  </si>
  <si>
    <t>PHQ9 Respondents Improved</t>
  </si>
  <si>
    <t>PHQ Respondents Improved</t>
  </si>
  <si>
    <t>GAD7 Respondents Improved Base</t>
  </si>
  <si>
    <t>GAD7_IMPROVE_IND</t>
  </si>
  <si>
    <t>GAD7 Respondents Improved</t>
  </si>
  <si>
    <t>GAD Respondents Improved</t>
  </si>
  <si>
    <t>SuperScoreImproved%</t>
  </si>
  <si>
    <t>GAD Respondents improved%</t>
  </si>
  <si>
    <t>PHQ Respondents improved%</t>
  </si>
  <si>
    <t>Job Performance improved%</t>
  </si>
  <si>
    <t>PHQ ResponseTotal PHQ9</t>
  </si>
  <si>
    <t>Depression Severity Category</t>
  </si>
  <si>
    <t>Depression Severity Category Short Description</t>
  </si>
  <si>
    <t>PHQ9_CATGRY_SORT</t>
  </si>
  <si>
    <t>PHQ Response DrillthroughPHQ9Initial</t>
  </si>
  <si>
    <t>GAD Response DrillthroughGAD7Initial</t>
  </si>
  <si>
    <t>GAD Response Drillthrough</t>
  </si>
  <si>
    <t>PHQ Response Drillthrough</t>
  </si>
  <si>
    <t>PHQ Response DrillthroughPHQ9Initial to FollowUp</t>
  </si>
  <si>
    <t>GAD Response DrillthroughGAD7Initial to FollowUp</t>
  </si>
  <si>
    <t>Job Performance ResponsesTotal</t>
  </si>
  <si>
    <t>Job Performance ResponseDrillthrough</t>
  </si>
  <si>
    <t>GAD Response Initial to FollowUp</t>
  </si>
  <si>
    <t>PHQ Response Initial to FollowUp</t>
  </si>
  <si>
    <t>PHQ9 Respondents NotImproved</t>
  </si>
  <si>
    <t>PHQ Respondents NotImproved</t>
  </si>
  <si>
    <t>GAD7 Respondents NotImproved</t>
  </si>
  <si>
    <t>GAD Respondents NotImproved</t>
  </si>
  <si>
    <t>GAD Response Total</t>
  </si>
  <si>
    <t>Anxiety Severity Category</t>
  </si>
  <si>
    <t>GAD7_CATGRY_SORT</t>
  </si>
  <si>
    <t>Anxiety Severity Category Short Description</t>
  </si>
  <si>
    <t>PHQ ResponseTotal</t>
  </si>
  <si>
    <t>Estimated Total Absent Hours Rate Initial to Followup</t>
  </si>
  <si>
    <t>Estimated Productivity Rate Initial to Followup</t>
  </si>
  <si>
    <t>GAD ResponseInitial</t>
  </si>
  <si>
    <t>GAD ResponseFollowUp</t>
  </si>
  <si>
    <t>PHQ ResponseInitial</t>
  </si>
  <si>
    <t>PHQ ResponseFollowUp</t>
  </si>
  <si>
    <t>SuperScoreResponseDrilthrough total</t>
  </si>
  <si>
    <t>GAD7 Response Base</t>
  </si>
  <si>
    <t>GAD7 Response</t>
  </si>
  <si>
    <t>GAD2 Respondents Base</t>
  </si>
  <si>
    <t>GAD2 Respondents</t>
  </si>
  <si>
    <t>PHQ2 Response Base</t>
  </si>
  <si>
    <t>PHQ2 Response</t>
  </si>
  <si>
    <t>PHQ2 Respondents Base</t>
  </si>
  <si>
    <t>PHQ2 Respondents</t>
  </si>
  <si>
    <t>Estimated Total Absent Hours (in last 30days)DFD Total</t>
  </si>
  <si>
    <t>Estimated Total Absent Hours (in last 30days)DFD Total PY</t>
  </si>
  <si>
    <t>Estimated Total Absent Hours (in last 30days) DrillThroughDFD</t>
  </si>
  <si>
    <t>GAD2 RespondentsDFD Base</t>
  </si>
  <si>
    <t>GAD2 RespondentsDFD</t>
  </si>
  <si>
    <t>GAD2 ResponseDFD Base</t>
  </si>
  <si>
    <t>GAD2 ResponseDFD</t>
  </si>
  <si>
    <t>GAD7 RespondentsDFD Base</t>
  </si>
  <si>
    <t>GAD7 ResponseDFD Base</t>
  </si>
  <si>
    <t>GAD7 ResponseDFD</t>
  </si>
  <si>
    <t>GAD7 RespondentsDFD</t>
  </si>
  <si>
    <t>GAD7 Respondents ImprovedDFD Base</t>
  </si>
  <si>
    <t>GAD7 Respondents ImprovedDFD</t>
  </si>
  <si>
    <t>GAD7 Respondents NotImprovedDFD</t>
  </si>
  <si>
    <t>GAD ResponseDFD</t>
  </si>
  <si>
    <t>GAD RespondentsDFD</t>
  </si>
  <si>
    <t>GAD ResponseFollowUpDFD</t>
  </si>
  <si>
    <t>GAD ResponseInitialDFD</t>
  </si>
  <si>
    <t>GAD ResponseDFD Total</t>
  </si>
  <si>
    <t>GAD Response DrillthroughDFD</t>
  </si>
  <si>
    <t>GAD Response DrillthroughGAD7InitialDFD</t>
  </si>
  <si>
    <t>GAD ResponseTotal GAD7DFD</t>
  </si>
  <si>
    <t>GAD7_CATGRY_sort</t>
  </si>
  <si>
    <t>GAD Response Initial to FollowUpDFD</t>
  </si>
  <si>
    <t>GAD Response DrillthroughGAD7Initial to FollowUpDFD</t>
  </si>
  <si>
    <t>GAD Respondents ImprovedDFD</t>
  </si>
  <si>
    <t>GAD Respondents NotImprovedDFD</t>
  </si>
  <si>
    <t>GAD RespondentsDFD PY</t>
  </si>
  <si>
    <t>GAD Respondents improved%DFD</t>
  </si>
  <si>
    <t>GAD AnxietyScore AverageDFD</t>
  </si>
  <si>
    <t>GAD AnxietyScore AverageDFD PY</t>
  </si>
  <si>
    <t>GAD AnxietyScore AverageDFD %  Change</t>
  </si>
  <si>
    <t>Job Performance ResponsesDFDTotal</t>
  </si>
  <si>
    <t>Job Performance ResponseDrillthroughDFD</t>
  </si>
  <si>
    <t>Job Performance improvedDFD</t>
  </si>
  <si>
    <t>Job Performance improved%DFD</t>
  </si>
  <si>
    <t>PHQ2 RespondentsDFD Base</t>
  </si>
  <si>
    <t>PHQ2 RespondentsDFD</t>
  </si>
  <si>
    <t>PHQ9 RespondentsDFD Base</t>
  </si>
  <si>
    <t>PHQ9 RespondentsDFD</t>
  </si>
  <si>
    <t>PHQ ResponseTotal PHQ9DFD</t>
  </si>
  <si>
    <t>PHQ ResponseTotalDFD</t>
  </si>
  <si>
    <t>PHQ RespondentsDFD</t>
  </si>
  <si>
    <t>PHQ RespondentsDFD PY</t>
  </si>
  <si>
    <t>PHQ RespondentsDFD %  Change</t>
  </si>
  <si>
    <t>PHQ2 ResponseDFD Base</t>
  </si>
  <si>
    <t>PHQ2 ResponseDFD</t>
  </si>
  <si>
    <t>PHQ9 ResponseDFD Base</t>
  </si>
  <si>
    <t>PHQ9 ResponseDFD</t>
  </si>
  <si>
    <t>PHQ ResponseDFD</t>
  </si>
  <si>
    <t>PHQ ResponseDFD PY</t>
  </si>
  <si>
    <t>PHQ ResponseDFD % Change</t>
  </si>
  <si>
    <t>PHQ Response DrillthroughDFD</t>
  </si>
  <si>
    <t>PHQ Response DrillthroughPHQ9InitialDFD</t>
  </si>
  <si>
    <t>PHQ Response DrillthroughPHQ9Initial to FollowUpDFD</t>
  </si>
  <si>
    <t>PHQ Respondents ImprovedDFD</t>
  </si>
  <si>
    <t>PHQ9 Respondents ImprovedDFD Base</t>
  </si>
  <si>
    <t>PHQ9 Respondents ImprovedDFD</t>
  </si>
  <si>
    <t>PHQ9 Respondents NotImprovedDFD</t>
  </si>
  <si>
    <t>PHQ Respondents Not ImprovedDFD</t>
  </si>
  <si>
    <t>PHQ Respondents improved%DFD</t>
  </si>
  <si>
    <t>GAD Respondents Total</t>
  </si>
  <si>
    <t>GAD Responses Initial to FollowUp</t>
  </si>
  <si>
    <t>PHQ Responses Initial to FollowUp</t>
  </si>
  <si>
    <t>GAD7 Respondents Improved InitialBase</t>
  </si>
  <si>
    <t>GAD7_IMPROVE_INIT_IND</t>
  </si>
  <si>
    <t>GAD Respondents Initial</t>
  </si>
  <si>
    <t>GAD Respondents improved Initial%</t>
  </si>
  <si>
    <t>PHQ Respondents Initial</t>
  </si>
  <si>
    <t>GAD7 Respondents Improved Initial</t>
  </si>
  <si>
    <t>PHQ9 Respondents Improved Initial Base</t>
  </si>
  <si>
    <t>PHQ9_IMPROVE_INIT_IND</t>
  </si>
  <si>
    <t>PHQ Respondents improved Initial%</t>
  </si>
  <si>
    <t>PHQ9 Respondents Improved Initial</t>
  </si>
  <si>
    <t>SuperScore ResponseDFD Total</t>
  </si>
  <si>
    <t>GAD7 Respondents Improved InitialDFDBase</t>
  </si>
  <si>
    <t>GAD7 Respondents Improved InitialDFD</t>
  </si>
  <si>
    <t>GAD Respondents InitialDFD</t>
  </si>
  <si>
    <t>GAD Respondents improved InitialDFD%</t>
  </si>
  <si>
    <t>PHQ Respondents InitialDFD</t>
  </si>
  <si>
    <t>PHQ9 Respondents Improved InitialDFD Base</t>
  </si>
  <si>
    <t>PHQ9 Respondents Improved InitialDFD</t>
  </si>
  <si>
    <t>PHQ Respondents improved InitialDFD%</t>
  </si>
  <si>
    <t>SNAP_YEAR_MNTH_NBR,</t>
  </si>
  <si>
    <t xml:space="preserve">    INCDNT_NBR,</t>
  </si>
  <si>
    <t xml:space="preserve">    RPTG_MNTH_NBR,</t>
  </si>
  <si>
    <t xml:space="preserve">    EAP_SESN_DTM,</t>
  </si>
  <si>
    <t xml:space="preserve">    INCDNT_ST_CD,</t>
  </si>
  <si>
    <t xml:space="preserve">    PROD_NM,</t>
  </si>
  <si>
    <t xml:space="preserve">    FUNDG_CF_CD,</t>
  </si>
  <si>
    <t xml:space="preserve">    MBU_CF_CD,</t>
  </si>
  <si>
    <t xml:space="preserve">    GRP_CD,</t>
  </si>
  <si>
    <t xml:space="preserve">    SESN_MDL_CD,</t>
  </si>
  <si>
    <t xml:space="preserve">    EDM_CLNT_GRP_SUBGRP_ACCT_KEY,</t>
  </si>
  <si>
    <t xml:space="preserve">    EAP_GRP_ID,</t>
  </si>
  <si>
    <t xml:space="preserve">    TOTL_SESN_CNT,</t>
  </si>
  <si>
    <t>TO_CHAR(EAP_SESN_DTM, 'YYYYMM') as EAP_SESN_YEAR_MNTH,</t>
  </si>
  <si>
    <t>CALR_TYPE_CD</t>
  </si>
  <si>
    <t>,INCDNT_ACTY_CD</t>
  </si>
  <si>
    <t>,INCDNT_PROV_TYPE_CD</t>
  </si>
  <si>
    <t>,INCDNT_PRSNT_PRBLM_KEY</t>
  </si>
  <si>
    <t>,INCDNT_SRVC_TYPE_CD</t>
  </si>
  <si>
    <t>,INCDNT_ENTY_KEY</t>
  </si>
  <si>
    <t>,EAP_SUBGRP_ID</t>
  </si>
  <si>
    <t>CASE WHEN STDALN_CD ='YES' THEN  'YES' ELSE 'NO' END STDALN_CD,</t>
  </si>
  <si>
    <t xml:space="preserve">   </t>
  </si>
  <si>
    <t>CASE</t>
  </si>
  <si>
    <t xml:space="preserve">        WHEN POSITION('_' IN SESN_MDL_CD) &gt; 0 THEN</t>
  </si>
  <si>
    <t xml:space="preserve">            NULLIF(SPLIT_PART(SESN_MDL_CD, '_', 2), 'BY')</t>
  </si>
  <si>
    <t xml:space="preserve">        ELSE NULL</t>
  </si>
  <si>
    <t xml:space="preserve">    END AS SESN_MDL_SHRT_CD</t>
  </si>
  <si>
    <t>fact_incdnt_tdl</t>
  </si>
  <si>
    <t>fact_srvy_dtl</t>
  </si>
  <si>
    <t>table need to create Akshay and team working</t>
  </si>
  <si>
    <t>measures are pending</t>
  </si>
  <si>
    <t>measures are pending once table created then we can fix those</t>
  </si>
  <si>
    <t>dim_eap_srvy_phq</t>
  </si>
  <si>
    <t>client</t>
  </si>
  <si>
    <t>Company chart field</t>
  </si>
  <si>
    <t>Fact_eap_srvy_dtl</t>
  </si>
  <si>
    <t>In fabric model having 202606 in in onprem having 202707</t>
  </si>
  <si>
    <t>no snap year</t>
  </si>
  <si>
    <t>issus in  slicer</t>
  </si>
  <si>
    <t>need to create relationshiop in rfrl key</t>
  </si>
  <si>
    <t>dim_eap_prod_desc</t>
  </si>
  <si>
    <t>USE WAREHOUSE U01_COC_USER_WH_M; SELECT COLUMN_NAME FROM U01_PRDA.INFORMATION_SCHEMA.COLUMNS WHERE TABLE_SCHEMA = 'PRDA_RPTG_ALLPHI_NOGBD' AND TABLE_NAME = 'FACT_EAP_SRVY_DTL' ORDER BY ORDINAL_POSITION</t>
  </si>
  <si>
    <t>SNAP_YEAR_MNTH_NBR</t>
  </si>
  <si>
    <t>RPTG_MNTH_NBR</t>
  </si>
  <si>
    <t>EAP_SESN_DTM</t>
  </si>
  <si>
    <t>PROD_NM</t>
  </si>
  <si>
    <t>GRP_CD</t>
  </si>
  <si>
    <t>EDM_CLNT_GRP_SUBGRP_ACCT_KEY</t>
  </si>
  <si>
    <t>EAP_GRP_ID</t>
  </si>
  <si>
    <t>INCDNT_PRSNT_PRBLM_KEY</t>
  </si>
  <si>
    <t>INCDNT_ENTY_KEY</t>
  </si>
  <si>
    <t>EAP_SUBGRP_ID</t>
  </si>
  <si>
    <t>Name</t>
  </si>
  <si>
    <t>Source Column</t>
  </si>
  <si>
    <t>Data Type</t>
  </si>
  <si>
    <t>String</t>
  </si>
  <si>
    <t>Session Created Date</t>
  </si>
  <si>
    <t>Product Name</t>
  </si>
  <si>
    <t>depend on SESN_MDL_CD and this column is not present. Need to make join in dim_eap_sesn_mdl</t>
  </si>
  <si>
    <t>main table used I onprem=&gt;FACT_INCDNT_TOTL_SESN but in fabric side used=&gt;FACT_INCDNT_SESN TABLE</t>
  </si>
  <si>
    <t>DIM_INCDNT_SESN'[Session Created Year Month]  used from FACT_INCDNT_SESN</t>
  </si>
  <si>
    <t>Total_incdnt_sesn</t>
  </si>
  <si>
    <t>main table used onprem=&gt;FACT_INCDNT_TOTL_SESN but in fabric side used=&gt;FACT_INCDNT_SESN TABLE for ession created year month column</t>
  </si>
  <si>
    <t>Remark</t>
  </si>
  <si>
    <t>validated data it giving same result and in source code also poinitng to the same table =&gt; FACT_INCDNT_SESN table</t>
  </si>
  <si>
    <t>in DIM_INCDNT_SESN'[Session Created Year Month]  used from FACT_INCDNT_SESN</t>
  </si>
  <si>
    <t>validated data it shwoing same values</t>
  </si>
  <si>
    <t>column created in Tabular editor in FACT_INCDNT_SESN</t>
  </si>
  <si>
    <t>dim table</t>
  </si>
  <si>
    <t>session created year month</t>
  </si>
  <si>
    <t>table</t>
  </si>
  <si>
    <t>fact_incdnt_sesn</t>
  </si>
  <si>
    <t>fact_incdnt_totl_sesn</t>
  </si>
  <si>
    <t>incurredMonthStatic</t>
  </si>
  <si>
    <t xml:space="preserve">incurredmonth </t>
  </si>
  <si>
    <t>incurred year month nbr</t>
  </si>
  <si>
    <t>column from dim</t>
  </si>
  <si>
    <t>Column from fact</t>
  </si>
  <si>
    <t>logic for dim</t>
  </si>
  <si>
    <t>base column</t>
  </si>
  <si>
    <t>session created year month = DISTINCT('FACT_INCDNT_SESN'[Session Created Year Month])</t>
  </si>
  <si>
    <r>
      <t xml:space="preserve">create </t>
    </r>
    <r>
      <rPr>
        <b/>
        <sz val="11"/>
        <color theme="1"/>
        <rFont val="Aptos Narrow"/>
        <family val="2"/>
        <scheme val="minor"/>
      </rPr>
      <t xml:space="preserve">session created year month </t>
    </r>
    <r>
      <rPr>
        <sz val="11"/>
        <color theme="1"/>
        <rFont val="Aptos Narrow"/>
        <family val="2"/>
        <scheme val="minor"/>
      </rPr>
      <t>in FACT_INCDNT_SESN 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</si>
</sst>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.75"/>
      <color rgb="FF000000"/>
      <name val="Consolas"/>
      <family val="3"/>
    </font>
    <font>
      <sz val="10"/>
      <color rgb="FF000000"/>
      <name val="Courier New"/>
      <family val="3"/>
    </font>
    <font>
      <b/>
      <sz val="11"/>
      <color theme="1"/>
      <name val="Aptos Narrow"/>
      <family val="2"/>
      <scheme val="minor"/>
    </font>
    <font>
      <sz val="9.75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1" fillId="6" borderId="1" xfId="0" applyFont="1" applyFill="1" applyBorder="1" applyAlignment="1">
      <alignment horizontal="lef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7" borderId="0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/>
    <xf numFmtId="0" fontId="0" fillId="10" borderId="1" xfId="0" applyFill="1" applyBorder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1327150</xdr:colOff>
      <xdr:row>7</xdr:row>
      <xdr:rowOff>50800</xdr:rowOff>
    </xdr:from>
    <xdr:to>
      <xdr:col>4</xdr:col>
      <xdr:colOff>362265</xdr:colOff>
      <xdr:row>11</xdr:row>
      <xdr:rowOff>69889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468CC-686D-0EED-F31A-8516AE73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150" y="1708150"/>
          <a:ext cx="6121715" cy="755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</xdr:col>
      <xdr:colOff>492565</xdr:colOff>
      <xdr:row>23</xdr:row>
      <xdr:rowOff>92345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5CDB9-0230-9D3B-1F6F-BD004A264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" y="2393950"/>
          <a:ext cx="3153215" cy="1933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162288</xdr:colOff>
      <xdr:row>5</xdr:row>
      <xdr:rowOff>44559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75A87A-3450-FF74-EEC2-195D498C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2600688" cy="781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11</xdr:col>
      <xdr:colOff>486779</xdr:colOff>
      <xdr:row>40</xdr:row>
      <xdr:rowOff>3998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1F1C48-9532-E81C-51E5-CA2C283ED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3200"/>
          <a:ext cx="7192379" cy="58967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D5B3-8116-4400-BB5E-A42357B05FCD}">
  <dimension ref="A1:F13"/>
  <sheetViews>
    <sheetView workbookViewId="0">
      <selection activeCell="A7" sqref="A7:XFD7"/>
    </sheetView>
  </sheetViews>
  <sheetFormatPr defaultColWidth="35.7265625" defaultRowHeight="14.5" x14ac:dyDescent="0.35"/>
  <cols>
    <col min="1" max="1" width="37" bestFit="1" customWidth="1"/>
    <col min="2" max="2" width="14.1796875" bestFit="1" customWidth="1"/>
    <col min="3" max="3" width="20.453125" bestFit="1" customWidth="1"/>
    <col min="4" max="4" width="12.1796875" bestFit="1" customWidth="1"/>
    <col min="5" max="5" width="14.1796875" bestFit="1" customWidth="1"/>
    <col min="6" max="6" width="50.54296875" bestFit="1" customWidth="1"/>
  </cols>
  <sheetData>
    <row r="1" spans="1:6" x14ac:dyDescent="0.35">
      <c r="A1" s="6" t="s">
        <v>1</v>
      </c>
      <c r="B1" s="6" t="s">
        <v>34</v>
      </c>
      <c r="C1" s="6" t="s">
        <v>32</v>
      </c>
      <c r="D1" s="6" t="s">
        <v>33</v>
      </c>
      <c r="E1" s="6" t="s">
        <v>31</v>
      </c>
      <c r="F1" s="6" t="s">
        <v>6</v>
      </c>
    </row>
    <row r="2" spans="1:6" x14ac:dyDescent="0.35">
      <c r="A2" s="6" t="s">
        <v>27</v>
      </c>
      <c r="B2" s="6">
        <v>2</v>
      </c>
      <c r="C2" s="6">
        <v>2</v>
      </c>
      <c r="D2" s="6"/>
      <c r="E2" s="6">
        <f>B2-C2</f>
        <v>0</v>
      </c>
      <c r="F2" s="7" t="s">
        <v>35</v>
      </c>
    </row>
    <row r="3" spans="1:6" x14ac:dyDescent="0.35">
      <c r="A3" s="6" t="s">
        <v>28</v>
      </c>
      <c r="B3" s="6">
        <v>2</v>
      </c>
      <c r="C3" s="6">
        <v>2</v>
      </c>
      <c r="D3" s="6"/>
      <c r="E3" s="6">
        <f t="shared" ref="E3:E10" si="0">B3-C3</f>
        <v>0</v>
      </c>
      <c r="F3" s="7" t="s">
        <v>35</v>
      </c>
    </row>
    <row r="4" spans="1:6" x14ac:dyDescent="0.35">
      <c r="A4" s="6" t="s">
        <v>0</v>
      </c>
      <c r="B4" s="6">
        <v>2</v>
      </c>
      <c r="C4" s="6">
        <v>2</v>
      </c>
      <c r="D4" s="6"/>
      <c r="E4" s="6">
        <f t="shared" si="0"/>
        <v>0</v>
      </c>
      <c r="F4" s="7" t="s">
        <v>35</v>
      </c>
    </row>
    <row r="5" spans="1:6" x14ac:dyDescent="0.35">
      <c r="A5" s="6" t="s">
        <v>2</v>
      </c>
      <c r="B5" s="6">
        <v>5</v>
      </c>
      <c r="C5" s="6">
        <v>4</v>
      </c>
      <c r="D5" s="6">
        <v>1</v>
      </c>
      <c r="E5" s="6">
        <f t="shared" si="0"/>
        <v>1</v>
      </c>
      <c r="F5" s="7" t="s">
        <v>35</v>
      </c>
    </row>
    <row r="6" spans="1:6" x14ac:dyDescent="0.35">
      <c r="A6" s="6" t="s">
        <v>11</v>
      </c>
      <c r="B6" s="6">
        <v>12</v>
      </c>
      <c r="C6" s="6">
        <v>12</v>
      </c>
      <c r="D6" s="6"/>
      <c r="E6" s="6">
        <f t="shared" si="0"/>
        <v>0</v>
      </c>
      <c r="F6" s="8" t="s">
        <v>36</v>
      </c>
    </row>
    <row r="7" spans="1:6" x14ac:dyDescent="0.35">
      <c r="A7" s="6" t="s">
        <v>3</v>
      </c>
      <c r="B7" s="6">
        <v>74</v>
      </c>
      <c r="C7" s="6">
        <v>64</v>
      </c>
      <c r="D7" s="6">
        <v>10</v>
      </c>
      <c r="E7" s="6">
        <f t="shared" si="0"/>
        <v>10</v>
      </c>
      <c r="F7" s="12" t="s">
        <v>102</v>
      </c>
    </row>
    <row r="8" spans="1:6" x14ac:dyDescent="0.35">
      <c r="A8" s="6" t="s">
        <v>29</v>
      </c>
      <c r="B8" s="6">
        <v>25</v>
      </c>
      <c r="C8" s="6">
        <v>20</v>
      </c>
      <c r="D8" s="6">
        <v>5</v>
      </c>
      <c r="E8" s="6">
        <f t="shared" si="0"/>
        <v>5</v>
      </c>
      <c r="F8" s="7" t="s">
        <v>35</v>
      </c>
    </row>
    <row r="9" spans="1:6" x14ac:dyDescent="0.35">
      <c r="A9" s="6" t="s">
        <v>4</v>
      </c>
      <c r="B9" s="6">
        <v>4</v>
      </c>
      <c r="C9" s="6">
        <v>4</v>
      </c>
      <c r="D9" s="6"/>
      <c r="E9" s="6">
        <f t="shared" si="0"/>
        <v>0</v>
      </c>
      <c r="F9" s="7" t="s">
        <v>35</v>
      </c>
    </row>
    <row r="10" spans="1:6" x14ac:dyDescent="0.35">
      <c r="A10" s="6" t="s">
        <v>5</v>
      </c>
      <c r="B10" s="6">
        <v>304</v>
      </c>
      <c r="C10" s="6">
        <v>301</v>
      </c>
      <c r="D10" s="6">
        <v>3</v>
      </c>
      <c r="E10" s="6">
        <f t="shared" si="0"/>
        <v>3</v>
      </c>
      <c r="F10" s="9" t="s">
        <v>37</v>
      </c>
    </row>
    <row r="11" spans="1:6" x14ac:dyDescent="0.35">
      <c r="A11" s="7" t="s">
        <v>30</v>
      </c>
      <c r="B11" s="7">
        <f>SUM(B2:B10)</f>
        <v>430</v>
      </c>
      <c r="C11" s="7">
        <f>SUM(C2:C10)</f>
        <v>411</v>
      </c>
      <c r="D11" s="7">
        <f>SUM(D2:D10)</f>
        <v>19</v>
      </c>
      <c r="E11" s="7">
        <f>SUM(E2:E10)</f>
        <v>19</v>
      </c>
      <c r="F11" s="6"/>
    </row>
    <row r="13" spans="1:6" x14ac:dyDescent="0.35">
      <c r="B13" s="1" t="s">
        <v>31</v>
      </c>
      <c r="C13" s="27">
        <f>SUM(C11:D11)</f>
        <v>430</v>
      </c>
      <c r="D13" s="27"/>
    </row>
  </sheetData>
  <mergeCells count="1">
    <mergeCell ref="C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2898-8BE4-4B93-8C06-052667B5A20D}">
  <dimension ref="A1:G5"/>
  <sheetViews>
    <sheetView topLeftCell="B1" zoomScale="85" zoomScaleNormal="85" workbookViewId="0">
      <selection activeCell="B4" sqref="B4:B5"/>
    </sheetView>
  </sheetViews>
  <sheetFormatPr defaultColWidth="18.90625" defaultRowHeight="14.5" x14ac:dyDescent="0.35"/>
  <cols>
    <col min="1" max="1" width="21.7265625" bestFit="1" customWidth="1"/>
    <col min="2" max="2" width="24.90625" bestFit="1" customWidth="1"/>
    <col min="3" max="3" width="38.90625" bestFit="1" customWidth="1"/>
    <col min="4" max="4" width="19" bestFit="1" customWidth="1"/>
    <col min="5" max="5" width="24.08984375" bestFit="1" customWidth="1"/>
    <col min="6" max="6" width="16.36328125" bestFit="1" customWidth="1"/>
    <col min="7" max="7" width="60.81640625" bestFit="1" customWidth="1"/>
  </cols>
  <sheetData>
    <row r="1" spans="1:7" x14ac:dyDescent="0.35">
      <c r="A1" t="s">
        <v>1</v>
      </c>
      <c r="B1" s="3" t="s">
        <v>15</v>
      </c>
      <c r="C1" s="3" t="s">
        <v>16</v>
      </c>
      <c r="D1" t="s">
        <v>8</v>
      </c>
      <c r="E1" t="s">
        <v>10</v>
      </c>
      <c r="F1" s="4" t="s">
        <v>25</v>
      </c>
      <c r="G1" t="s">
        <v>41</v>
      </c>
    </row>
    <row r="2" spans="1:7" ht="29" x14ac:dyDescent="0.35">
      <c r="A2" s="2" t="s">
        <v>11</v>
      </c>
      <c r="B2" s="2" t="s">
        <v>7</v>
      </c>
      <c r="C2" s="2" t="s">
        <v>18</v>
      </c>
      <c r="D2" s="3" t="s">
        <v>9</v>
      </c>
      <c r="E2" s="3" t="s">
        <v>24</v>
      </c>
      <c r="F2" s="2" t="s">
        <v>19</v>
      </c>
      <c r="G2" s="5" t="s">
        <v>26</v>
      </c>
    </row>
    <row r="3" spans="1:7" x14ac:dyDescent="0.35">
      <c r="B3" t="s">
        <v>12</v>
      </c>
      <c r="C3" t="s">
        <v>17</v>
      </c>
      <c r="E3" t="s">
        <v>22</v>
      </c>
      <c r="F3" t="s">
        <v>20</v>
      </c>
    </row>
    <row r="4" spans="1:7" x14ac:dyDescent="0.35">
      <c r="B4" t="s">
        <v>13</v>
      </c>
      <c r="C4" t="s">
        <v>17</v>
      </c>
      <c r="E4" s="3" t="s">
        <v>23</v>
      </c>
      <c r="F4" t="s">
        <v>21</v>
      </c>
    </row>
    <row r="5" spans="1:7" x14ac:dyDescent="0.35">
      <c r="B5" t="s">
        <v>14</v>
      </c>
      <c r="C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0002-DC90-4E59-99F3-A195C70F6CAA}">
  <dimension ref="A1:L42"/>
  <sheetViews>
    <sheetView zoomScale="55" zoomScaleNormal="55" workbookViewId="0">
      <pane ySplit="1" topLeftCell="A2" activePane="bottomLeft" state="frozen"/>
      <selection pane="bottomLeft" activeCell="I24" sqref="I24"/>
    </sheetView>
  </sheetViews>
  <sheetFormatPr defaultColWidth="23.54296875" defaultRowHeight="14.5" x14ac:dyDescent="0.35"/>
  <cols>
    <col min="1" max="1" width="5.54296875" style="5" customWidth="1"/>
    <col min="2" max="2" width="43.54296875" style="5" bestFit="1" customWidth="1"/>
    <col min="3" max="3" width="30" style="5" bestFit="1" customWidth="1"/>
    <col min="4" max="4" width="30.36328125" style="5" bestFit="1" customWidth="1"/>
    <col min="5" max="5" width="23.90625" style="5" bestFit="1" customWidth="1"/>
    <col min="6" max="6" width="22.81640625" style="5" bestFit="1" customWidth="1"/>
    <col min="7" max="7" width="17.90625" style="5" bestFit="1" customWidth="1"/>
    <col min="8" max="8" width="17.90625" style="5" customWidth="1"/>
    <col min="9" max="9" width="72.1796875" style="5" customWidth="1"/>
    <col min="10" max="11" width="23.54296875" style="5"/>
    <col min="12" max="12" width="34.81640625" style="5" bestFit="1" customWidth="1"/>
    <col min="13" max="16384" width="23.54296875" style="5"/>
  </cols>
  <sheetData>
    <row r="1" spans="1:12" ht="29" x14ac:dyDescent="0.35">
      <c r="A1" s="10" t="s">
        <v>42</v>
      </c>
      <c r="B1" s="10" t="s">
        <v>15</v>
      </c>
      <c r="C1" s="10" t="s">
        <v>16</v>
      </c>
      <c r="D1" s="10" t="s">
        <v>82</v>
      </c>
      <c r="E1" s="10" t="s">
        <v>86</v>
      </c>
      <c r="F1" s="10" t="s">
        <v>85</v>
      </c>
      <c r="G1" s="10" t="s">
        <v>84</v>
      </c>
      <c r="H1" s="29"/>
      <c r="I1" s="5" t="s">
        <v>88</v>
      </c>
    </row>
    <row r="2" spans="1:12" x14ac:dyDescent="0.35">
      <c r="A2" s="10">
        <v>1</v>
      </c>
      <c r="B2" s="31" t="s">
        <v>38</v>
      </c>
      <c r="C2" s="19" t="s">
        <v>40</v>
      </c>
      <c r="D2" s="19" t="s">
        <v>81</v>
      </c>
      <c r="E2" s="19" t="s">
        <v>87</v>
      </c>
      <c r="F2" s="10" t="s">
        <v>55</v>
      </c>
      <c r="G2" s="28" t="s">
        <v>83</v>
      </c>
      <c r="H2" s="30"/>
      <c r="I2" s="17" t="s">
        <v>89</v>
      </c>
      <c r="L2" s="5" t="s">
        <v>285</v>
      </c>
    </row>
    <row r="3" spans="1:12" x14ac:dyDescent="0.35">
      <c r="A3" s="10"/>
      <c r="B3" s="31" t="s">
        <v>43</v>
      </c>
      <c r="C3" s="20"/>
      <c r="D3" s="20"/>
      <c r="E3" s="20"/>
      <c r="F3" s="10"/>
      <c r="G3" s="10"/>
      <c r="H3" s="29"/>
      <c r="I3" s="17"/>
      <c r="L3" s="5" t="s">
        <v>286</v>
      </c>
    </row>
    <row r="4" spans="1:12" x14ac:dyDescent="0.35">
      <c r="A4" s="10"/>
      <c r="B4" s="31" t="s">
        <v>44</v>
      </c>
      <c r="C4" s="20"/>
      <c r="D4" s="20"/>
      <c r="E4" s="20"/>
      <c r="F4" s="10"/>
      <c r="G4" s="10"/>
      <c r="H4" s="29"/>
      <c r="I4" s="17"/>
      <c r="L4" s="5" t="s">
        <v>287</v>
      </c>
    </row>
    <row r="5" spans="1:12" x14ac:dyDescent="0.35">
      <c r="A5" s="10"/>
      <c r="B5" s="31" t="s">
        <v>45</v>
      </c>
      <c r="C5" s="21"/>
      <c r="D5" s="21"/>
      <c r="E5" s="21"/>
      <c r="F5" s="10"/>
      <c r="G5" s="10"/>
      <c r="H5" s="29"/>
      <c r="I5" s="17"/>
      <c r="L5" s="5" t="s">
        <v>288</v>
      </c>
    </row>
    <row r="6" spans="1:12" x14ac:dyDescent="0.35">
      <c r="I6" s="17"/>
      <c r="L6" s="5" t="s">
        <v>289</v>
      </c>
    </row>
    <row r="7" spans="1:12" ht="87" x14ac:dyDescent="0.35">
      <c r="A7" s="10">
        <v>2</v>
      </c>
      <c r="B7" s="33" t="s">
        <v>46</v>
      </c>
      <c r="C7" s="19" t="s">
        <v>40</v>
      </c>
      <c r="D7" s="18" t="s">
        <v>59</v>
      </c>
      <c r="E7" s="19" t="s">
        <v>87</v>
      </c>
      <c r="F7" s="10" t="s">
        <v>56</v>
      </c>
      <c r="G7" s="10" t="s">
        <v>96</v>
      </c>
      <c r="H7" s="29" t="s">
        <v>344</v>
      </c>
      <c r="I7" s="17"/>
      <c r="L7" s="5" t="s">
        <v>290</v>
      </c>
    </row>
    <row r="8" spans="1:12" x14ac:dyDescent="0.35">
      <c r="A8" s="10"/>
      <c r="B8" s="33" t="s">
        <v>47</v>
      </c>
      <c r="C8" s="20"/>
      <c r="D8" s="18"/>
      <c r="E8" s="20"/>
      <c r="F8" s="10" t="s">
        <v>90</v>
      </c>
      <c r="G8" s="28" t="s">
        <v>97</v>
      </c>
      <c r="H8" s="29"/>
      <c r="I8" s="17"/>
      <c r="L8" s="5" t="s">
        <v>291</v>
      </c>
    </row>
    <row r="9" spans="1:12" x14ac:dyDescent="0.35">
      <c r="A9" s="10"/>
      <c r="B9" s="33" t="s">
        <v>48</v>
      </c>
      <c r="C9" s="20"/>
      <c r="D9" s="18"/>
      <c r="E9" s="20"/>
      <c r="F9" s="10"/>
      <c r="G9" s="10"/>
      <c r="H9" s="29"/>
      <c r="I9" s="17"/>
      <c r="L9" s="5" t="s">
        <v>292</v>
      </c>
    </row>
    <row r="10" spans="1:12" x14ac:dyDescent="0.35">
      <c r="A10" s="10"/>
      <c r="B10" s="33" t="s">
        <v>49</v>
      </c>
      <c r="C10" s="20"/>
      <c r="D10" s="18"/>
      <c r="E10" s="20"/>
      <c r="F10" s="10"/>
      <c r="G10" s="10"/>
      <c r="H10" s="29"/>
      <c r="I10" s="17"/>
      <c r="L10" s="5" t="s">
        <v>293</v>
      </c>
    </row>
    <row r="11" spans="1:12" x14ac:dyDescent="0.35">
      <c r="A11" s="10"/>
      <c r="B11" s="33" t="s">
        <v>50</v>
      </c>
      <c r="C11" s="20"/>
      <c r="D11" s="18"/>
      <c r="E11" s="20"/>
      <c r="F11" s="10"/>
      <c r="G11" s="10"/>
      <c r="H11" s="29"/>
      <c r="I11" s="17"/>
      <c r="L11" s="5" t="s">
        <v>294</v>
      </c>
    </row>
    <row r="12" spans="1:12" x14ac:dyDescent="0.35">
      <c r="A12" s="10"/>
      <c r="B12" s="33" t="s">
        <v>51</v>
      </c>
      <c r="C12" s="20"/>
      <c r="D12" s="18"/>
      <c r="E12" s="20"/>
      <c r="F12" s="10"/>
      <c r="G12" s="10"/>
      <c r="H12" s="29"/>
      <c r="I12" s="17"/>
      <c r="L12" s="5" t="s">
        <v>295</v>
      </c>
    </row>
    <row r="13" spans="1:12" x14ac:dyDescent="0.35">
      <c r="A13" s="10"/>
      <c r="B13" s="33" t="s">
        <v>52</v>
      </c>
      <c r="C13" s="20"/>
      <c r="D13" s="18"/>
      <c r="E13" s="20"/>
      <c r="F13" s="10"/>
      <c r="G13" s="10"/>
      <c r="H13" s="29"/>
      <c r="I13" s="17"/>
      <c r="L13" s="5" t="s">
        <v>296</v>
      </c>
    </row>
    <row r="14" spans="1:12" ht="29" x14ac:dyDescent="0.35">
      <c r="A14" s="10"/>
      <c r="B14" s="33" t="s">
        <v>53</v>
      </c>
      <c r="C14" s="20"/>
      <c r="D14" s="18"/>
      <c r="E14" s="20"/>
      <c r="F14" s="10" t="s">
        <v>57</v>
      </c>
      <c r="G14" s="28" t="s">
        <v>98</v>
      </c>
      <c r="H14" s="29"/>
      <c r="I14" s="17"/>
      <c r="L14" s="5" t="s">
        <v>297</v>
      </c>
    </row>
    <row r="15" spans="1:12" ht="29" x14ac:dyDescent="0.35">
      <c r="A15" s="10"/>
      <c r="B15" s="33" t="s">
        <v>54</v>
      </c>
      <c r="C15" s="21"/>
      <c r="D15" s="18"/>
      <c r="E15" s="21"/>
      <c r="F15" s="10"/>
      <c r="G15" s="10"/>
      <c r="H15" s="29"/>
      <c r="I15" s="17"/>
      <c r="L15" s="5" t="s">
        <v>298</v>
      </c>
    </row>
    <row r="16" spans="1:12" x14ac:dyDescent="0.35">
      <c r="B16" s="34"/>
      <c r="I16" s="17"/>
      <c r="L16" s="5" t="s">
        <v>299</v>
      </c>
    </row>
    <row r="17" spans="1:12" x14ac:dyDescent="0.35">
      <c r="I17" s="17"/>
      <c r="L17" s="5" t="s">
        <v>300</v>
      </c>
    </row>
    <row r="18" spans="1:12" ht="29" x14ac:dyDescent="0.35">
      <c r="A18" s="10">
        <v>3</v>
      </c>
      <c r="B18" s="33" t="s">
        <v>58</v>
      </c>
      <c r="C18" s="16" t="s">
        <v>60</v>
      </c>
      <c r="D18" s="16" t="s">
        <v>59</v>
      </c>
      <c r="E18" s="16" t="s">
        <v>87</v>
      </c>
      <c r="F18" s="10" t="s">
        <v>57</v>
      </c>
      <c r="G18" s="28" t="s">
        <v>98</v>
      </c>
      <c r="H18" s="29"/>
      <c r="I18" s="17"/>
      <c r="L18" s="5" t="s">
        <v>301</v>
      </c>
    </row>
    <row r="19" spans="1:12" x14ac:dyDescent="0.35">
      <c r="A19" s="10"/>
      <c r="B19" s="33" t="s">
        <v>61</v>
      </c>
      <c r="C19" s="16"/>
      <c r="D19" s="16"/>
      <c r="E19" s="16"/>
      <c r="F19" s="3" t="s">
        <v>55</v>
      </c>
      <c r="G19" s="28" t="s">
        <v>83</v>
      </c>
      <c r="H19" s="29"/>
      <c r="I19" s="17"/>
      <c r="L19" s="5" t="s">
        <v>302</v>
      </c>
    </row>
    <row r="20" spans="1:12" x14ac:dyDescent="0.35">
      <c r="A20" s="10"/>
      <c r="B20" s="33" t="s">
        <v>62</v>
      </c>
      <c r="C20" s="16"/>
      <c r="D20" s="16"/>
      <c r="E20" s="16"/>
      <c r="F20" s="10"/>
      <c r="G20" s="10"/>
      <c r="H20" s="29"/>
      <c r="I20" s="17"/>
      <c r="L20" s="5" t="s">
        <v>303</v>
      </c>
    </row>
    <row r="21" spans="1:12" x14ac:dyDescent="0.35">
      <c r="A21" s="10"/>
      <c r="B21" s="33" t="s">
        <v>63</v>
      </c>
      <c r="C21" s="16"/>
      <c r="D21" s="16"/>
      <c r="E21" s="16"/>
      <c r="F21" s="10"/>
      <c r="G21" s="10"/>
      <c r="H21" s="29"/>
      <c r="I21" s="17"/>
      <c r="L21" s="5" t="s">
        <v>304</v>
      </c>
    </row>
    <row r="22" spans="1:12" x14ac:dyDescent="0.35">
      <c r="A22" s="10"/>
      <c r="B22" s="33" t="s">
        <v>64</v>
      </c>
      <c r="C22" s="22" t="s">
        <v>65</v>
      </c>
      <c r="D22" s="16"/>
      <c r="E22" s="16"/>
      <c r="F22" s="10"/>
      <c r="G22" s="10"/>
      <c r="H22" s="29"/>
      <c r="I22" s="17"/>
      <c r="L22" s="5" t="s">
        <v>305</v>
      </c>
    </row>
    <row r="23" spans="1:12" x14ac:dyDescent="0.35">
      <c r="A23" s="10"/>
      <c r="B23" s="33" t="s">
        <v>66</v>
      </c>
      <c r="C23" s="22"/>
      <c r="D23" s="16"/>
      <c r="E23" s="16"/>
      <c r="F23" s="10"/>
      <c r="G23" s="10"/>
      <c r="H23" s="29"/>
      <c r="I23" s="17"/>
    </row>
    <row r="24" spans="1:12" ht="29" x14ac:dyDescent="0.35">
      <c r="A24" s="10"/>
      <c r="B24" s="33" t="s">
        <v>67</v>
      </c>
      <c r="C24" s="22"/>
      <c r="D24" s="16"/>
      <c r="E24" s="16"/>
      <c r="F24" s="10"/>
      <c r="G24" s="10"/>
      <c r="H24" s="29"/>
      <c r="L24" s="5" t="s">
        <v>306</v>
      </c>
    </row>
    <row r="25" spans="1:12" x14ac:dyDescent="0.35">
      <c r="E25" s="4"/>
    </row>
    <row r="26" spans="1:12" x14ac:dyDescent="0.35">
      <c r="E26" s="4"/>
      <c r="L26" s="5" t="s">
        <v>307</v>
      </c>
    </row>
    <row r="27" spans="1:12" x14ac:dyDescent="0.35">
      <c r="A27" s="10">
        <v>4</v>
      </c>
      <c r="B27" s="33" t="s">
        <v>68</v>
      </c>
      <c r="C27" s="19" t="s">
        <v>69</v>
      </c>
      <c r="D27" s="24" t="s">
        <v>345</v>
      </c>
      <c r="E27" s="19" t="s">
        <v>95</v>
      </c>
      <c r="F27" s="10" t="s">
        <v>55</v>
      </c>
      <c r="G27" s="28" t="s">
        <v>83</v>
      </c>
      <c r="H27" s="10"/>
      <c r="I27" s="23" t="s">
        <v>99</v>
      </c>
      <c r="L27" s="5" t="s">
        <v>308</v>
      </c>
    </row>
    <row r="28" spans="1:12" ht="29" x14ac:dyDescent="0.35">
      <c r="A28" s="10"/>
      <c r="B28" s="33" t="s">
        <v>70</v>
      </c>
      <c r="C28" s="20"/>
      <c r="D28" s="25"/>
      <c r="E28" s="20"/>
      <c r="F28" s="10"/>
      <c r="G28" s="10"/>
      <c r="H28" s="10"/>
      <c r="I28" s="23"/>
      <c r="L28" s="5" t="s">
        <v>309</v>
      </c>
    </row>
    <row r="29" spans="1:12" ht="29" x14ac:dyDescent="0.35">
      <c r="A29" s="10"/>
      <c r="B29" s="33" t="s">
        <v>71</v>
      </c>
      <c r="C29" s="20"/>
      <c r="D29" s="25"/>
      <c r="E29" s="20"/>
      <c r="F29" s="10"/>
      <c r="G29" s="10"/>
      <c r="H29" s="10"/>
      <c r="I29" s="23"/>
      <c r="L29" s="5" t="s">
        <v>310</v>
      </c>
    </row>
    <row r="30" spans="1:12" x14ac:dyDescent="0.35">
      <c r="A30" s="10"/>
      <c r="B30" s="33" t="s">
        <v>72</v>
      </c>
      <c r="C30" s="21"/>
      <c r="D30" s="26"/>
      <c r="E30" s="21"/>
      <c r="F30" s="10"/>
      <c r="G30" s="10"/>
      <c r="H30" s="10"/>
      <c r="I30" s="23"/>
      <c r="L30" s="5" t="s">
        <v>311</v>
      </c>
    </row>
    <row r="31" spans="1:12" x14ac:dyDescent="0.35">
      <c r="L31" s="5" t="s">
        <v>312</v>
      </c>
    </row>
    <row r="32" spans="1:12" x14ac:dyDescent="0.35">
      <c r="A32" s="10">
        <v>5</v>
      </c>
      <c r="B32" s="10" t="s">
        <v>73</v>
      </c>
      <c r="C32" s="19" t="s">
        <v>94</v>
      </c>
      <c r="D32" s="19" t="s">
        <v>93</v>
      </c>
    </row>
    <row r="33" spans="1:9" x14ac:dyDescent="0.35">
      <c r="A33" s="10"/>
      <c r="B33" s="10" t="s">
        <v>74</v>
      </c>
      <c r="C33" s="20"/>
      <c r="D33" s="20"/>
    </row>
    <row r="34" spans="1:9" x14ac:dyDescent="0.35">
      <c r="A34" s="10"/>
      <c r="B34" s="10" t="s">
        <v>75</v>
      </c>
      <c r="C34" s="21"/>
      <c r="D34" s="21"/>
    </row>
    <row r="35" spans="1:9" x14ac:dyDescent="0.35">
      <c r="E35" s="11"/>
    </row>
    <row r="36" spans="1:9" x14ac:dyDescent="0.35">
      <c r="A36" s="10">
        <v>6</v>
      </c>
      <c r="B36" s="33" t="s">
        <v>76</v>
      </c>
      <c r="C36" s="19" t="s">
        <v>91</v>
      </c>
      <c r="D36" s="19" t="s">
        <v>39</v>
      </c>
      <c r="E36" s="19" t="s">
        <v>95</v>
      </c>
      <c r="F36" s="10" t="s">
        <v>90</v>
      </c>
      <c r="G36" s="28" t="s">
        <v>97</v>
      </c>
      <c r="H36" s="29"/>
    </row>
    <row r="37" spans="1:9" ht="29" x14ac:dyDescent="0.35">
      <c r="A37" s="10"/>
      <c r="B37" s="10"/>
      <c r="C37" s="21"/>
      <c r="D37" s="21"/>
      <c r="E37" s="21"/>
      <c r="F37" s="10" t="s">
        <v>57</v>
      </c>
      <c r="G37" s="28" t="s">
        <v>98</v>
      </c>
      <c r="H37" s="29"/>
    </row>
    <row r="39" spans="1:9" x14ac:dyDescent="0.35">
      <c r="A39" s="10">
        <v>7</v>
      </c>
      <c r="B39" s="33" t="s">
        <v>77</v>
      </c>
      <c r="C39" s="19" t="s">
        <v>91</v>
      </c>
      <c r="D39" s="10" t="s">
        <v>39</v>
      </c>
      <c r="E39" s="19" t="s">
        <v>95</v>
      </c>
      <c r="F39" s="10" t="s">
        <v>90</v>
      </c>
      <c r="G39" s="10" t="s">
        <v>97</v>
      </c>
      <c r="H39" s="10"/>
      <c r="I39" s="10" t="s">
        <v>100</v>
      </c>
    </row>
    <row r="40" spans="1:9" ht="58" x14ac:dyDescent="0.35">
      <c r="A40" s="10"/>
      <c r="B40" s="33" t="s">
        <v>78</v>
      </c>
      <c r="C40" s="20"/>
      <c r="D40" s="10" t="s">
        <v>92</v>
      </c>
      <c r="E40" s="20"/>
      <c r="F40" s="31" t="s">
        <v>346</v>
      </c>
      <c r="G40" s="10" t="s">
        <v>98</v>
      </c>
      <c r="H40" s="10"/>
      <c r="I40" s="23" t="s">
        <v>101</v>
      </c>
    </row>
    <row r="41" spans="1:9" x14ac:dyDescent="0.35">
      <c r="A41" s="10"/>
      <c r="B41" s="33" t="s">
        <v>79</v>
      </c>
      <c r="C41" s="20"/>
      <c r="D41" s="10"/>
      <c r="E41" s="20"/>
      <c r="F41" s="10"/>
      <c r="G41" s="10"/>
      <c r="H41" s="10"/>
      <c r="I41" s="23"/>
    </row>
    <row r="42" spans="1:9" x14ac:dyDescent="0.35">
      <c r="A42" s="10"/>
      <c r="B42" s="33" t="s">
        <v>80</v>
      </c>
      <c r="C42" s="21"/>
      <c r="D42" s="10"/>
      <c r="E42" s="21"/>
      <c r="F42" s="10"/>
      <c r="G42" s="10"/>
      <c r="H42" s="10"/>
      <c r="I42" s="23"/>
    </row>
  </sheetData>
  <mergeCells count="23">
    <mergeCell ref="C39:C42"/>
    <mergeCell ref="E39:E42"/>
    <mergeCell ref="I27:I30"/>
    <mergeCell ref="I40:I42"/>
    <mergeCell ref="C27:C30"/>
    <mergeCell ref="D27:D30"/>
    <mergeCell ref="E27:E30"/>
    <mergeCell ref="D36:D37"/>
    <mergeCell ref="D32:D34"/>
    <mergeCell ref="C32:C34"/>
    <mergeCell ref="E36:E37"/>
    <mergeCell ref="C36:C37"/>
    <mergeCell ref="C2:C5"/>
    <mergeCell ref="C7:C15"/>
    <mergeCell ref="C18:C21"/>
    <mergeCell ref="C22:C24"/>
    <mergeCell ref="D18:D24"/>
    <mergeCell ref="E18:E24"/>
    <mergeCell ref="I2:I23"/>
    <mergeCell ref="D7:D15"/>
    <mergeCell ref="D2:D5"/>
    <mergeCell ref="E2:E5"/>
    <mergeCell ref="E7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875A-8DBC-43FE-B00F-85BB621ADAE6}">
  <dimension ref="A1:E20"/>
  <sheetViews>
    <sheetView tabSelected="1" workbookViewId="0">
      <selection activeCell="D16" sqref="D16"/>
    </sheetView>
  </sheetViews>
  <sheetFormatPr defaultColWidth="25.36328125" defaultRowHeight="14.5" x14ac:dyDescent="0.35"/>
  <cols>
    <col min="5" max="5" width="87.54296875" bestFit="1" customWidth="1"/>
  </cols>
  <sheetData>
    <row r="1" spans="1:5" x14ac:dyDescent="0.35">
      <c r="A1" s="1"/>
      <c r="B1" s="1"/>
      <c r="C1" s="1" t="s">
        <v>347</v>
      </c>
      <c r="D1" s="1" t="s">
        <v>349</v>
      </c>
    </row>
    <row r="2" spans="1:5" x14ac:dyDescent="0.35">
      <c r="A2" s="1">
        <v>1</v>
      </c>
      <c r="B2" s="1"/>
      <c r="C2" s="1" t="s">
        <v>57</v>
      </c>
      <c r="D2" s="1" t="s">
        <v>353</v>
      </c>
    </row>
    <row r="3" spans="1:5" ht="43.5" x14ac:dyDescent="0.35">
      <c r="A3" s="1">
        <v>2</v>
      </c>
      <c r="B3" s="1"/>
      <c r="C3" s="10" t="s">
        <v>348</v>
      </c>
      <c r="D3" s="10" t="s">
        <v>350</v>
      </c>
    </row>
    <row r="4" spans="1:5" x14ac:dyDescent="0.35">
      <c r="A4" s="1">
        <v>3</v>
      </c>
      <c r="B4" s="1"/>
      <c r="C4" s="32" t="s">
        <v>351</v>
      </c>
      <c r="D4" s="1" t="s">
        <v>352</v>
      </c>
    </row>
    <row r="5" spans="1:5" x14ac:dyDescent="0.35">
      <c r="A5" s="1">
        <v>4</v>
      </c>
      <c r="B5" s="1"/>
      <c r="C5" s="10"/>
      <c r="D5" s="1"/>
    </row>
    <row r="14" spans="1:5" x14ac:dyDescent="0.35">
      <c r="A14" s="35" t="s">
        <v>356</v>
      </c>
      <c r="B14" s="35" t="s">
        <v>363</v>
      </c>
      <c r="C14" s="35" t="s">
        <v>354</v>
      </c>
      <c r="D14" s="35" t="s">
        <v>362</v>
      </c>
      <c r="E14" s="35" t="s">
        <v>364</v>
      </c>
    </row>
    <row r="15" spans="1:5" x14ac:dyDescent="0.35">
      <c r="A15" t="s">
        <v>357</v>
      </c>
      <c r="B15" t="s">
        <v>355</v>
      </c>
      <c r="C15" t="s">
        <v>359</v>
      </c>
      <c r="D15" t="s">
        <v>355</v>
      </c>
      <c r="E15" s="36" t="s">
        <v>366</v>
      </c>
    </row>
    <row r="16" spans="1:5" x14ac:dyDescent="0.35">
      <c r="A16" t="s">
        <v>358</v>
      </c>
      <c r="B16" t="s">
        <v>355</v>
      </c>
      <c r="C16" t="s">
        <v>360</v>
      </c>
      <c r="D16" t="s">
        <v>361</v>
      </c>
      <c r="E16" t="s">
        <v>365</v>
      </c>
    </row>
    <row r="19" spans="2:3" x14ac:dyDescent="0.35">
      <c r="B19">
        <v>1</v>
      </c>
      <c r="C19" t="s">
        <v>367</v>
      </c>
    </row>
    <row r="20" spans="2:3" x14ac:dyDescent="0.35">
      <c r="B20">
        <v>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04BA-2F4E-41E3-BCF5-40CC4741CE22}">
  <dimension ref="A1:K216"/>
  <sheetViews>
    <sheetView zoomScale="70" zoomScaleNormal="70" workbookViewId="0">
      <pane ySplit="1" topLeftCell="A200" activePane="bottomLeft" state="frozen"/>
      <selection pane="bottomLeft" activeCell="D159" sqref="D159"/>
    </sheetView>
  </sheetViews>
  <sheetFormatPr defaultColWidth="8.81640625" defaultRowHeight="14.5" x14ac:dyDescent="0.35"/>
  <cols>
    <col min="1" max="1" width="5.90625" bestFit="1" customWidth="1"/>
    <col min="2" max="2" width="55.81640625" bestFit="1" customWidth="1"/>
    <col min="3" max="3" width="37.6328125" bestFit="1" customWidth="1"/>
    <col min="4" max="4" width="31.08984375" bestFit="1" customWidth="1"/>
    <col min="5" max="5" width="22.7265625" bestFit="1" customWidth="1"/>
    <col min="6" max="6" width="26.1796875" bestFit="1" customWidth="1"/>
    <col min="7" max="7" width="18.6328125" bestFit="1" customWidth="1"/>
    <col min="8" max="8" width="50.36328125" bestFit="1" customWidth="1"/>
    <col min="9" max="9" width="11.81640625" bestFit="1" customWidth="1"/>
    <col min="11" max="11" width="2.08984375" bestFit="1" customWidth="1"/>
    <col min="12" max="12" width="1.81640625" bestFit="1" customWidth="1"/>
    <col min="13" max="13" width="37.26953125" bestFit="1" customWidth="1"/>
    <col min="14" max="14" width="31.08984375" bestFit="1" customWidth="1"/>
    <col min="15" max="15" width="18" bestFit="1" customWidth="1"/>
    <col min="16" max="16" width="13.90625" bestFit="1" customWidth="1"/>
    <col min="17" max="17" width="14.90625" bestFit="1" customWidth="1"/>
    <col min="18" max="18" width="16.1796875" bestFit="1" customWidth="1"/>
  </cols>
  <sheetData>
    <row r="1" spans="1:9" x14ac:dyDescent="0.35">
      <c r="A1" s="1" t="s">
        <v>42</v>
      </c>
      <c r="B1" s="1" t="s">
        <v>15</v>
      </c>
      <c r="C1" s="1" t="s">
        <v>16</v>
      </c>
      <c r="D1" s="1" t="s">
        <v>82</v>
      </c>
      <c r="E1" s="1" t="s">
        <v>86</v>
      </c>
      <c r="F1" s="1" t="s">
        <v>85</v>
      </c>
      <c r="G1" s="1" t="s">
        <v>84</v>
      </c>
      <c r="I1" t="s">
        <v>88</v>
      </c>
    </row>
    <row r="2" spans="1:9" x14ac:dyDescent="0.35">
      <c r="D2" s="3"/>
      <c r="F2" s="3"/>
      <c r="H2" s="3"/>
    </row>
    <row r="3" spans="1:9" x14ac:dyDescent="0.35">
      <c r="A3">
        <v>1</v>
      </c>
      <c r="B3" t="s">
        <v>103</v>
      </c>
      <c r="C3" t="s">
        <v>131</v>
      </c>
      <c r="D3" s="3" t="s">
        <v>5</v>
      </c>
      <c r="F3" s="3" t="s">
        <v>104</v>
      </c>
    </row>
    <row r="4" spans="1:9" x14ac:dyDescent="0.35">
      <c r="B4" t="s">
        <v>105</v>
      </c>
    </row>
    <row r="5" spans="1:9" x14ac:dyDescent="0.35">
      <c r="B5" t="s">
        <v>106</v>
      </c>
    </row>
    <row r="6" spans="1:9" x14ac:dyDescent="0.35">
      <c r="B6" t="s">
        <v>107</v>
      </c>
    </row>
    <row r="7" spans="1:9" x14ac:dyDescent="0.35">
      <c r="B7" t="s">
        <v>108</v>
      </c>
    </row>
    <row r="8" spans="1:9" x14ac:dyDescent="0.35">
      <c r="B8" t="s">
        <v>109</v>
      </c>
    </row>
    <row r="9" spans="1:9" x14ac:dyDescent="0.35">
      <c r="B9" t="s">
        <v>110</v>
      </c>
    </row>
    <row r="10" spans="1:9" x14ac:dyDescent="0.35">
      <c r="B10" t="s">
        <v>128</v>
      </c>
    </row>
    <row r="11" spans="1:9" x14ac:dyDescent="0.35">
      <c r="B11" t="s">
        <v>111</v>
      </c>
    </row>
    <row r="12" spans="1:9" x14ac:dyDescent="0.35">
      <c r="B12" t="s">
        <v>123</v>
      </c>
    </row>
    <row r="13" spans="1:9" x14ac:dyDescent="0.35">
      <c r="B13" t="s">
        <v>129</v>
      </c>
    </row>
    <row r="14" spans="1:9" x14ac:dyDescent="0.35">
      <c r="B14" t="s">
        <v>124</v>
      </c>
    </row>
    <row r="15" spans="1:9" x14ac:dyDescent="0.35">
      <c r="B15" t="s">
        <v>130</v>
      </c>
    </row>
    <row r="16" spans="1:9" x14ac:dyDescent="0.35">
      <c r="B16" t="s">
        <v>161</v>
      </c>
    </row>
    <row r="17" spans="2:2" x14ac:dyDescent="0.35">
      <c r="B17" t="s">
        <v>169</v>
      </c>
    </row>
    <row r="18" spans="2:2" x14ac:dyDescent="0.35">
      <c r="B18" t="s">
        <v>170</v>
      </c>
    </row>
    <row r="19" spans="2:2" x14ac:dyDescent="0.35">
      <c r="B19" t="s">
        <v>173</v>
      </c>
    </row>
    <row r="20" spans="2:2" x14ac:dyDescent="0.35">
      <c r="B20" t="s">
        <v>180</v>
      </c>
    </row>
    <row r="21" spans="2:2" x14ac:dyDescent="0.35">
      <c r="B21" t="s">
        <v>181</v>
      </c>
    </row>
    <row r="22" spans="2:2" x14ac:dyDescent="0.35">
      <c r="B22" t="s">
        <v>189</v>
      </c>
    </row>
    <row r="23" spans="2:2" x14ac:dyDescent="0.35">
      <c r="B23" t="s">
        <v>190</v>
      </c>
    </row>
    <row r="24" spans="2:2" x14ac:dyDescent="0.35">
      <c r="B24" t="s">
        <v>194</v>
      </c>
    </row>
    <row r="25" spans="2:2" x14ac:dyDescent="0.35">
      <c r="B25" t="s">
        <v>195</v>
      </c>
    </row>
    <row r="26" spans="2:2" x14ac:dyDescent="0.35">
      <c r="B26" t="s">
        <v>196</v>
      </c>
    </row>
    <row r="27" spans="2:2" x14ac:dyDescent="0.35">
      <c r="B27" t="s">
        <v>197</v>
      </c>
    </row>
    <row r="28" spans="2:2" x14ac:dyDescent="0.35">
      <c r="B28" t="s">
        <v>205</v>
      </c>
    </row>
    <row r="29" spans="2:2" x14ac:dyDescent="0.35">
      <c r="B29" t="s">
        <v>206</v>
      </c>
    </row>
    <row r="30" spans="2:2" x14ac:dyDescent="0.35">
      <c r="B30" t="s">
        <v>207</v>
      </c>
    </row>
    <row r="31" spans="2:2" x14ac:dyDescent="0.35">
      <c r="B31" t="s">
        <v>208</v>
      </c>
    </row>
    <row r="32" spans="2:2" x14ac:dyDescent="0.35">
      <c r="B32" s="14" t="s">
        <v>209</v>
      </c>
    </row>
    <row r="33" spans="2:2" x14ac:dyDescent="0.35">
      <c r="B33" t="s">
        <v>210</v>
      </c>
    </row>
    <row r="34" spans="2:2" x14ac:dyDescent="0.35">
      <c r="B34" t="s">
        <v>211</v>
      </c>
    </row>
    <row r="35" spans="2:2" x14ac:dyDescent="0.35">
      <c r="B35" t="s">
        <v>212</v>
      </c>
    </row>
    <row r="36" spans="2:2" x14ac:dyDescent="0.35">
      <c r="B36" t="s">
        <v>215</v>
      </c>
    </row>
    <row r="37" spans="2:2" x14ac:dyDescent="0.35">
      <c r="B37" t="s">
        <v>216</v>
      </c>
    </row>
    <row r="38" spans="2:2" x14ac:dyDescent="0.35">
      <c r="B38" t="s">
        <v>217</v>
      </c>
    </row>
    <row r="39" spans="2:2" x14ac:dyDescent="0.35">
      <c r="B39" t="s">
        <v>218</v>
      </c>
    </row>
    <row r="40" spans="2:2" x14ac:dyDescent="0.35">
      <c r="B40" t="s">
        <v>219</v>
      </c>
    </row>
    <row r="41" spans="2:2" x14ac:dyDescent="0.35">
      <c r="B41" s="3" t="s">
        <v>221</v>
      </c>
    </row>
    <row r="42" spans="2:2" x14ac:dyDescent="0.35">
      <c r="B42" s="3" t="s">
        <v>222</v>
      </c>
    </row>
    <row r="43" spans="2:2" x14ac:dyDescent="0.35">
      <c r="B43" s="3" t="s">
        <v>225</v>
      </c>
    </row>
    <row r="44" spans="2:2" x14ac:dyDescent="0.35">
      <c r="B44" s="3" t="s">
        <v>226</v>
      </c>
    </row>
    <row r="45" spans="2:2" x14ac:dyDescent="0.35">
      <c r="B45" s="3" t="s">
        <v>228</v>
      </c>
    </row>
    <row r="46" spans="2:2" x14ac:dyDescent="0.35">
      <c r="B46" s="3" t="s">
        <v>229</v>
      </c>
    </row>
    <row r="47" spans="2:2" x14ac:dyDescent="0.35">
      <c r="B47" s="3" t="s">
        <v>230</v>
      </c>
    </row>
    <row r="48" spans="2:2" x14ac:dyDescent="0.35">
      <c r="B48" s="3" t="s">
        <v>231</v>
      </c>
    </row>
    <row r="49" spans="1:6" x14ac:dyDescent="0.35">
      <c r="B49" s="3" t="s">
        <v>232</v>
      </c>
    </row>
    <row r="50" spans="1:6" x14ac:dyDescent="0.35">
      <c r="B50" s="3" t="s">
        <v>233</v>
      </c>
    </row>
    <row r="51" spans="1:6" x14ac:dyDescent="0.35">
      <c r="B51" s="3" t="s">
        <v>268</v>
      </c>
    </row>
    <row r="52" spans="1:6" x14ac:dyDescent="0.35">
      <c r="B52" s="3" t="s">
        <v>269</v>
      </c>
    </row>
    <row r="53" spans="1:6" x14ac:dyDescent="0.35">
      <c r="B53" s="3" t="s">
        <v>279</v>
      </c>
    </row>
    <row r="54" spans="1:6" x14ac:dyDescent="0.35">
      <c r="B54" s="3" t="s">
        <v>280</v>
      </c>
    </row>
    <row r="55" spans="1:6" x14ac:dyDescent="0.35">
      <c r="B55" s="3"/>
    </row>
    <row r="57" spans="1:6" x14ac:dyDescent="0.35">
      <c r="A57">
        <v>2</v>
      </c>
      <c r="B57" t="s">
        <v>112</v>
      </c>
      <c r="C57" t="s">
        <v>132</v>
      </c>
      <c r="D57" s="3" t="s">
        <v>5</v>
      </c>
      <c r="F57" s="3" t="s">
        <v>122</v>
      </c>
    </row>
    <row r="58" spans="1:6" x14ac:dyDescent="0.35">
      <c r="B58" t="s">
        <v>113</v>
      </c>
    </row>
    <row r="59" spans="1:6" x14ac:dyDescent="0.35">
      <c r="B59" t="s">
        <v>114</v>
      </c>
    </row>
    <row r="60" spans="1:6" x14ac:dyDescent="0.35">
      <c r="B60" t="s">
        <v>115</v>
      </c>
    </row>
    <row r="61" spans="1:6" x14ac:dyDescent="0.35">
      <c r="B61" t="s">
        <v>116</v>
      </c>
    </row>
    <row r="62" spans="1:6" x14ac:dyDescent="0.35">
      <c r="B62" t="s">
        <v>117</v>
      </c>
    </row>
    <row r="63" spans="1:6" x14ac:dyDescent="0.35">
      <c r="B63" t="s">
        <v>118</v>
      </c>
    </row>
    <row r="64" spans="1:6" x14ac:dyDescent="0.35">
      <c r="B64" t="s">
        <v>119</v>
      </c>
    </row>
    <row r="65" spans="2:11" x14ac:dyDescent="0.35">
      <c r="B65" t="s">
        <v>120</v>
      </c>
    </row>
    <row r="66" spans="2:11" x14ac:dyDescent="0.35">
      <c r="B66" t="s">
        <v>121</v>
      </c>
    </row>
    <row r="67" spans="2:11" x14ac:dyDescent="0.35">
      <c r="B67" t="s">
        <v>134</v>
      </c>
    </row>
    <row r="68" spans="2:11" x14ac:dyDescent="0.35">
      <c r="B68" t="s">
        <v>135</v>
      </c>
      <c r="K68">
        <v>4</v>
      </c>
    </row>
    <row r="69" spans="2:11" x14ac:dyDescent="0.35">
      <c r="B69" t="s">
        <v>136</v>
      </c>
    </row>
    <row r="70" spans="2:11" x14ac:dyDescent="0.35">
      <c r="B70" t="s">
        <v>162</v>
      </c>
    </row>
    <row r="71" spans="2:11" x14ac:dyDescent="0.35">
      <c r="B71" t="s">
        <v>168</v>
      </c>
    </row>
    <row r="72" spans="2:11" x14ac:dyDescent="0.35">
      <c r="B72" t="s">
        <v>171</v>
      </c>
    </row>
    <row r="73" spans="2:11" x14ac:dyDescent="0.35">
      <c r="B73" t="s">
        <v>172</v>
      </c>
    </row>
    <row r="74" spans="2:11" x14ac:dyDescent="0.35">
      <c r="B74" t="s">
        <v>178</v>
      </c>
    </row>
    <row r="75" spans="2:11" x14ac:dyDescent="0.35">
      <c r="B75" t="s">
        <v>179</v>
      </c>
    </row>
    <row r="76" spans="2:11" x14ac:dyDescent="0.35">
      <c r="B76" t="s">
        <v>191</v>
      </c>
    </row>
    <row r="77" spans="2:11" x14ac:dyDescent="0.35">
      <c r="B77" t="s">
        <v>192</v>
      </c>
    </row>
    <row r="78" spans="2:11" x14ac:dyDescent="0.35">
      <c r="B78" t="s">
        <v>198</v>
      </c>
    </row>
    <row r="79" spans="2:11" x14ac:dyDescent="0.35">
      <c r="B79" t="s">
        <v>199</v>
      </c>
    </row>
    <row r="80" spans="2:11" x14ac:dyDescent="0.35">
      <c r="B80" t="s">
        <v>200</v>
      </c>
    </row>
    <row r="81" spans="2:2" x14ac:dyDescent="0.35">
      <c r="B81" t="s">
        <v>201</v>
      </c>
    </row>
    <row r="82" spans="2:2" x14ac:dyDescent="0.35">
      <c r="B82" t="s">
        <v>238</v>
      </c>
    </row>
    <row r="83" spans="2:2" x14ac:dyDescent="0.35">
      <c r="B83" t="s">
        <v>239</v>
      </c>
    </row>
    <row r="84" spans="2:2" x14ac:dyDescent="0.35">
      <c r="B84" t="s">
        <v>240</v>
      </c>
    </row>
    <row r="85" spans="2:2" x14ac:dyDescent="0.35">
      <c r="B85" t="s">
        <v>241</v>
      </c>
    </row>
    <row r="86" spans="2:2" x14ac:dyDescent="0.35">
      <c r="B86" t="s">
        <v>244</v>
      </c>
    </row>
    <row r="87" spans="2:2" x14ac:dyDescent="0.35">
      <c r="B87" t="s">
        <v>245</v>
      </c>
    </row>
    <row r="88" spans="2:2" x14ac:dyDescent="0.35">
      <c r="B88" t="s">
        <v>246</v>
      </c>
    </row>
    <row r="89" spans="2:2" x14ac:dyDescent="0.35">
      <c r="B89" t="s">
        <v>247</v>
      </c>
    </row>
    <row r="90" spans="2:2" x14ac:dyDescent="0.35">
      <c r="B90" t="s">
        <v>248</v>
      </c>
    </row>
    <row r="91" spans="2:2" x14ac:dyDescent="0.35">
      <c r="B91" t="s">
        <v>249</v>
      </c>
    </row>
    <row r="92" spans="2:2" x14ac:dyDescent="0.35">
      <c r="B92" t="s">
        <v>250</v>
      </c>
    </row>
    <row r="93" spans="2:2" x14ac:dyDescent="0.35">
      <c r="B93" t="s">
        <v>251</v>
      </c>
    </row>
    <row r="94" spans="2:2" x14ac:dyDescent="0.35">
      <c r="B94" t="s">
        <v>252</v>
      </c>
    </row>
    <row r="95" spans="2:2" x14ac:dyDescent="0.35">
      <c r="B95" t="s">
        <v>253</v>
      </c>
    </row>
    <row r="96" spans="2:2" x14ac:dyDescent="0.35">
      <c r="B96" t="s">
        <v>260</v>
      </c>
    </row>
    <row r="97" spans="1:6" x14ac:dyDescent="0.35">
      <c r="B97" t="s">
        <v>261</v>
      </c>
    </row>
    <row r="98" spans="1:6" x14ac:dyDescent="0.35">
      <c r="B98" t="s">
        <v>262</v>
      </c>
    </row>
    <row r="99" spans="1:6" x14ac:dyDescent="0.35">
      <c r="B99" t="s">
        <v>270</v>
      </c>
    </row>
    <row r="100" spans="1:6" x14ac:dyDescent="0.35">
      <c r="B100" t="s">
        <v>274</v>
      </c>
    </row>
    <row r="101" spans="1:6" x14ac:dyDescent="0.35">
      <c r="B101" t="s">
        <v>281</v>
      </c>
    </row>
    <row r="104" spans="1:6" x14ac:dyDescent="0.35">
      <c r="A104">
        <v>3</v>
      </c>
      <c r="B104" t="s">
        <v>125</v>
      </c>
      <c r="C104" t="s">
        <v>133</v>
      </c>
      <c r="D104" s="3" t="s">
        <v>5</v>
      </c>
      <c r="F104" s="3" t="s">
        <v>126</v>
      </c>
    </row>
    <row r="105" spans="1:6" x14ac:dyDescent="0.35">
      <c r="B105" s="3" t="s">
        <v>127</v>
      </c>
    </row>
    <row r="106" spans="1:6" x14ac:dyDescent="0.35">
      <c r="B106" t="s">
        <v>138</v>
      </c>
    </row>
    <row r="107" spans="1:6" x14ac:dyDescent="0.35">
      <c r="B107" t="s">
        <v>202</v>
      </c>
    </row>
    <row r="108" spans="1:6" x14ac:dyDescent="0.35">
      <c r="B108" t="s">
        <v>203</v>
      </c>
    </row>
    <row r="109" spans="1:6" x14ac:dyDescent="0.35">
      <c r="B109" t="s">
        <v>204</v>
      </c>
    </row>
    <row r="111" spans="1:6" x14ac:dyDescent="0.35">
      <c r="A111">
        <v>4</v>
      </c>
      <c r="B111" t="s">
        <v>137</v>
      </c>
      <c r="D111" s="3" t="s">
        <v>141</v>
      </c>
      <c r="F111" s="3" t="s">
        <v>139</v>
      </c>
    </row>
    <row r="112" spans="1:6" x14ac:dyDescent="0.35">
      <c r="B112" t="s">
        <v>143</v>
      </c>
      <c r="F112" s="3" t="s">
        <v>140</v>
      </c>
    </row>
    <row r="113" spans="1:6" x14ac:dyDescent="0.35">
      <c r="B113" t="s">
        <v>276</v>
      </c>
      <c r="F113" s="3" t="s">
        <v>142</v>
      </c>
    </row>
    <row r="117" spans="1:6" x14ac:dyDescent="0.35">
      <c r="A117">
        <v>5</v>
      </c>
      <c r="B117" t="s">
        <v>144</v>
      </c>
      <c r="D117" s="3" t="s">
        <v>5</v>
      </c>
      <c r="F117" s="3" t="s">
        <v>145</v>
      </c>
    </row>
    <row r="118" spans="1:6" x14ac:dyDescent="0.35">
      <c r="B118" t="s">
        <v>147</v>
      </c>
      <c r="F118" s="3" t="s">
        <v>146</v>
      </c>
    </row>
    <row r="121" spans="1:6" x14ac:dyDescent="0.35">
      <c r="A121">
        <v>6</v>
      </c>
      <c r="B121" t="s">
        <v>148</v>
      </c>
      <c r="D121" s="3" t="s">
        <v>5</v>
      </c>
      <c r="F121" s="3" t="s">
        <v>149</v>
      </c>
    </row>
    <row r="122" spans="1:6" x14ac:dyDescent="0.35">
      <c r="B122" t="s">
        <v>163</v>
      </c>
    </row>
    <row r="123" spans="1:6" x14ac:dyDescent="0.35">
      <c r="B123" t="s">
        <v>236</v>
      </c>
    </row>
    <row r="124" spans="1:6" x14ac:dyDescent="0.35">
      <c r="B124" t="s">
        <v>237</v>
      </c>
    </row>
    <row r="126" spans="1:6" x14ac:dyDescent="0.35">
      <c r="A126">
        <v>7</v>
      </c>
      <c r="B126" t="s">
        <v>150</v>
      </c>
      <c r="D126" s="3" t="s">
        <v>5</v>
      </c>
      <c r="F126" s="3" t="s">
        <v>151</v>
      </c>
    </row>
    <row r="127" spans="1:6" x14ac:dyDescent="0.35">
      <c r="B127" t="s">
        <v>160</v>
      </c>
    </row>
    <row r="130" spans="1:6" x14ac:dyDescent="0.35">
      <c r="A130">
        <v>8</v>
      </c>
      <c r="B130" t="s">
        <v>152</v>
      </c>
      <c r="D130" s="3" t="s">
        <v>5</v>
      </c>
      <c r="F130" s="3" t="s">
        <v>153</v>
      </c>
    </row>
    <row r="131" spans="1:6" x14ac:dyDescent="0.35">
      <c r="B131" t="s">
        <v>154</v>
      </c>
    </row>
    <row r="132" spans="1:6" x14ac:dyDescent="0.35">
      <c r="B132" t="s">
        <v>155</v>
      </c>
    </row>
    <row r="133" spans="1:6" x14ac:dyDescent="0.35">
      <c r="B133" t="s">
        <v>152</v>
      </c>
    </row>
    <row r="134" spans="1:6" x14ac:dyDescent="0.35">
      <c r="B134" t="s">
        <v>156</v>
      </c>
    </row>
    <row r="135" spans="1:6" x14ac:dyDescent="0.35">
      <c r="B135" t="s">
        <v>257</v>
      </c>
    </row>
    <row r="136" spans="1:6" x14ac:dyDescent="0.35">
      <c r="B136" t="s">
        <v>258</v>
      </c>
    </row>
    <row r="137" spans="1:6" x14ac:dyDescent="0.35">
      <c r="B137" s="13" t="s">
        <v>259</v>
      </c>
    </row>
    <row r="139" spans="1:6" x14ac:dyDescent="0.35">
      <c r="A139">
        <v>9</v>
      </c>
      <c r="B139" t="s">
        <v>156</v>
      </c>
      <c r="D139" s="3" t="s">
        <v>5</v>
      </c>
      <c r="F139" s="3" t="s">
        <v>157</v>
      </c>
    </row>
    <row r="140" spans="1:6" x14ac:dyDescent="0.35">
      <c r="B140" t="s">
        <v>158</v>
      </c>
    </row>
    <row r="141" spans="1:6" x14ac:dyDescent="0.35">
      <c r="B141" t="s">
        <v>159</v>
      </c>
    </row>
    <row r="142" spans="1:6" x14ac:dyDescent="0.35">
      <c r="B142" t="s">
        <v>213</v>
      </c>
    </row>
    <row r="143" spans="1:6" x14ac:dyDescent="0.35">
      <c r="B143" t="s">
        <v>214</v>
      </c>
    </row>
    <row r="144" spans="1:6" x14ac:dyDescent="0.35">
      <c r="B144" t="s">
        <v>227</v>
      </c>
    </row>
    <row r="147" spans="1:6" x14ac:dyDescent="0.35">
      <c r="A147">
        <v>10</v>
      </c>
      <c r="B147" t="s">
        <v>164</v>
      </c>
      <c r="D147" s="3" t="s">
        <v>5</v>
      </c>
      <c r="F147" s="3" t="s">
        <v>165</v>
      </c>
    </row>
    <row r="148" spans="1:6" x14ac:dyDescent="0.35">
      <c r="B148" t="s">
        <v>186</v>
      </c>
      <c r="F148" s="3" t="s">
        <v>166</v>
      </c>
    </row>
    <row r="149" spans="1:6" x14ac:dyDescent="0.35">
      <c r="B149" t="s">
        <v>242</v>
      </c>
      <c r="D149" s="3"/>
      <c r="F149" s="3" t="s">
        <v>167</v>
      </c>
    </row>
    <row r="150" spans="1:6" x14ac:dyDescent="0.35">
      <c r="B150" t="s">
        <v>243</v>
      </c>
      <c r="F150" s="3" t="s">
        <v>122</v>
      </c>
    </row>
    <row r="151" spans="1:6" x14ac:dyDescent="0.35">
      <c r="B151" t="s">
        <v>254</v>
      </c>
      <c r="F151" s="3" t="s">
        <v>146</v>
      </c>
    </row>
    <row r="152" spans="1:6" x14ac:dyDescent="0.35">
      <c r="B152" t="s">
        <v>255</v>
      </c>
    </row>
    <row r="153" spans="1:6" x14ac:dyDescent="0.35">
      <c r="B153" s="14" t="s">
        <v>256</v>
      </c>
    </row>
    <row r="159" spans="1:6" x14ac:dyDescent="0.35">
      <c r="A159">
        <v>11</v>
      </c>
      <c r="B159" t="s">
        <v>174</v>
      </c>
      <c r="D159" s="3" t="s">
        <v>141</v>
      </c>
      <c r="F159" s="3" t="s">
        <v>139</v>
      </c>
    </row>
    <row r="160" spans="1:6" x14ac:dyDescent="0.35">
      <c r="B160" t="s">
        <v>175</v>
      </c>
    </row>
    <row r="164" spans="1:6" x14ac:dyDescent="0.35">
      <c r="A164">
        <v>12</v>
      </c>
      <c r="B164" t="s">
        <v>176</v>
      </c>
      <c r="D164" s="3" t="s">
        <v>5</v>
      </c>
      <c r="F164" s="3" t="s">
        <v>145</v>
      </c>
    </row>
    <row r="166" spans="1:6" x14ac:dyDescent="0.35">
      <c r="A166">
        <v>13</v>
      </c>
      <c r="B166" t="s">
        <v>177</v>
      </c>
      <c r="D166" s="3" t="s">
        <v>5</v>
      </c>
      <c r="F166" s="3" t="s">
        <v>145</v>
      </c>
    </row>
    <row r="167" spans="1:6" x14ac:dyDescent="0.35">
      <c r="D167" s="3"/>
      <c r="F167" s="3"/>
    </row>
    <row r="168" spans="1:6" x14ac:dyDescent="0.35">
      <c r="A168">
        <v>14</v>
      </c>
      <c r="B168" t="s">
        <v>182</v>
      </c>
    </row>
    <row r="169" spans="1:6" x14ac:dyDescent="0.35">
      <c r="B169" t="s">
        <v>263</v>
      </c>
      <c r="D169" s="3" t="s">
        <v>5</v>
      </c>
      <c r="F169" s="3" t="s">
        <v>183</v>
      </c>
    </row>
    <row r="170" spans="1:6" x14ac:dyDescent="0.35">
      <c r="F170" s="3" t="s">
        <v>184</v>
      </c>
    </row>
    <row r="171" spans="1:6" x14ac:dyDescent="0.35">
      <c r="F171" s="3" t="s">
        <v>185</v>
      </c>
    </row>
    <row r="174" spans="1:6" x14ac:dyDescent="0.35">
      <c r="A174">
        <v>15</v>
      </c>
      <c r="B174" t="s">
        <v>187</v>
      </c>
      <c r="D174" s="3" t="s">
        <v>5</v>
      </c>
      <c r="F174" s="3" t="s">
        <v>145</v>
      </c>
    </row>
    <row r="175" spans="1:6" x14ac:dyDescent="0.35">
      <c r="B175" t="s">
        <v>188</v>
      </c>
      <c r="D175" s="3" t="s">
        <v>5</v>
      </c>
      <c r="F175" s="3" t="s">
        <v>146</v>
      </c>
    </row>
    <row r="176" spans="1:6" x14ac:dyDescent="0.35">
      <c r="B176" t="s">
        <v>264</v>
      </c>
    </row>
    <row r="177" spans="1:6" x14ac:dyDescent="0.35">
      <c r="B177" t="s">
        <v>265</v>
      </c>
    </row>
    <row r="178" spans="1:6" x14ac:dyDescent="0.35">
      <c r="D178" s="3"/>
      <c r="F178" s="3"/>
    </row>
    <row r="180" spans="1:6" x14ac:dyDescent="0.35">
      <c r="A180">
        <v>16</v>
      </c>
      <c r="B180" t="s">
        <v>193</v>
      </c>
      <c r="D180" s="3" t="s">
        <v>141</v>
      </c>
      <c r="F180" s="3" t="s">
        <v>139</v>
      </c>
    </row>
    <row r="181" spans="1:6" x14ac:dyDescent="0.35">
      <c r="B181" t="s">
        <v>234</v>
      </c>
      <c r="F181" s="3" t="s">
        <v>140</v>
      </c>
    </row>
    <row r="182" spans="1:6" x14ac:dyDescent="0.35">
      <c r="B182" t="s">
        <v>235</v>
      </c>
    </row>
    <row r="187" spans="1:6" x14ac:dyDescent="0.35">
      <c r="A187">
        <v>17</v>
      </c>
      <c r="B187" t="s">
        <v>220</v>
      </c>
      <c r="D187" s="3" t="s">
        <v>5</v>
      </c>
      <c r="F187" s="3" t="s">
        <v>183</v>
      </c>
    </row>
    <row r="188" spans="1:6" x14ac:dyDescent="0.35">
      <c r="B188" s="3"/>
      <c r="F188" s="3" t="s">
        <v>184</v>
      </c>
    </row>
    <row r="189" spans="1:6" x14ac:dyDescent="0.35">
      <c r="F189" s="3" t="s">
        <v>185</v>
      </c>
    </row>
    <row r="194" spans="1:7" x14ac:dyDescent="0.35">
      <c r="A194">
        <v>17</v>
      </c>
      <c r="B194" t="s">
        <v>223</v>
      </c>
      <c r="D194" s="3" t="s">
        <v>5</v>
      </c>
      <c r="F194" s="3" t="s">
        <v>183</v>
      </c>
    </row>
    <row r="195" spans="1:7" x14ac:dyDescent="0.35">
      <c r="F195" s="3" t="s">
        <v>185</v>
      </c>
    </row>
    <row r="196" spans="1:7" x14ac:dyDescent="0.35">
      <c r="F196" s="3" t="s">
        <v>224</v>
      </c>
    </row>
    <row r="197" spans="1:7" x14ac:dyDescent="0.35">
      <c r="F197" s="3" t="s">
        <v>104</v>
      </c>
    </row>
    <row r="198" spans="1:7" x14ac:dyDescent="0.35">
      <c r="F198" s="3" t="s">
        <v>146</v>
      </c>
    </row>
    <row r="200" spans="1:7" x14ac:dyDescent="0.35">
      <c r="D200" s="3"/>
      <c r="F200" s="3"/>
      <c r="G200" s="3"/>
    </row>
    <row r="201" spans="1:7" x14ac:dyDescent="0.35">
      <c r="B201" s="3"/>
    </row>
    <row r="203" spans="1:7" x14ac:dyDescent="0.35">
      <c r="A203">
        <v>18</v>
      </c>
      <c r="B203" s="3" t="s">
        <v>266</v>
      </c>
      <c r="D203" s="3" t="s">
        <v>5</v>
      </c>
      <c r="F203" s="3" t="s">
        <v>267</v>
      </c>
    </row>
    <row r="204" spans="1:7" x14ac:dyDescent="0.35">
      <c r="B204" s="3" t="s">
        <v>271</v>
      </c>
    </row>
    <row r="210" spans="1:6" x14ac:dyDescent="0.35">
      <c r="A210">
        <v>19</v>
      </c>
      <c r="B210" t="s">
        <v>272</v>
      </c>
      <c r="D210" s="3" t="s">
        <v>5</v>
      </c>
      <c r="F210" s="3" t="s">
        <v>273</v>
      </c>
    </row>
    <row r="211" spans="1:6" x14ac:dyDescent="0.35">
      <c r="B211" t="s">
        <v>275</v>
      </c>
    </row>
    <row r="212" spans="1:6" x14ac:dyDescent="0.35">
      <c r="B212" t="s">
        <v>277</v>
      </c>
    </row>
    <row r="213" spans="1:6" x14ac:dyDescent="0.35">
      <c r="B213" t="s">
        <v>278</v>
      </c>
    </row>
    <row r="214" spans="1:6" x14ac:dyDescent="0.35">
      <c r="B214" t="s">
        <v>282</v>
      </c>
    </row>
    <row r="215" spans="1:6" x14ac:dyDescent="0.35">
      <c r="B215" t="s">
        <v>283</v>
      </c>
    </row>
    <row r="216" spans="1:6" x14ac:dyDescent="0.35">
      <c r="B216" t="s">
        <v>284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096D-B800-45F7-9225-66683AC8FB43}">
  <dimension ref="A1:A21"/>
  <sheetViews>
    <sheetView workbookViewId="0">
      <selection sqref="A1:A1048576"/>
    </sheetView>
  </sheetViews>
  <sheetFormatPr defaultRowHeight="14.5" x14ac:dyDescent="0.35"/>
  <cols>
    <col min="1" max="1" width="47.6328125" bestFit="1" customWidth="1"/>
  </cols>
  <sheetData>
    <row r="1" spans="1:1" x14ac:dyDescent="0.35">
      <c r="A1" s="1"/>
    </row>
    <row r="2" spans="1:1" x14ac:dyDescent="0.35">
      <c r="A2" s="3" t="s">
        <v>126</v>
      </c>
    </row>
    <row r="3" spans="1:1" x14ac:dyDescent="0.35">
      <c r="A3" s="3" t="s">
        <v>183</v>
      </c>
    </row>
    <row r="4" spans="1:1" x14ac:dyDescent="0.35">
      <c r="A4" s="3" t="s">
        <v>185</v>
      </c>
    </row>
    <row r="5" spans="1:1" x14ac:dyDescent="0.35">
      <c r="A5" s="3" t="s">
        <v>165</v>
      </c>
    </row>
    <row r="6" spans="1:1" x14ac:dyDescent="0.35">
      <c r="A6" s="3" t="s">
        <v>166</v>
      </c>
    </row>
    <row r="7" spans="1:1" x14ac:dyDescent="0.35">
      <c r="A7" s="3" t="s">
        <v>184</v>
      </c>
    </row>
    <row r="8" spans="1:1" x14ac:dyDescent="0.35">
      <c r="A8" s="3" t="s">
        <v>157</v>
      </c>
    </row>
    <row r="9" spans="1:1" x14ac:dyDescent="0.35">
      <c r="A9" s="3" t="s">
        <v>267</v>
      </c>
    </row>
    <row r="10" spans="1:1" x14ac:dyDescent="0.35">
      <c r="A10" s="3" t="s">
        <v>104</v>
      </c>
    </row>
    <row r="11" spans="1:1" x14ac:dyDescent="0.35">
      <c r="A11" s="3" t="s">
        <v>149</v>
      </c>
    </row>
    <row r="12" spans="1:1" x14ac:dyDescent="0.35">
      <c r="A12" s="3" t="s">
        <v>167</v>
      </c>
    </row>
    <row r="13" spans="1:1" x14ac:dyDescent="0.35">
      <c r="A13" s="3" t="s">
        <v>153</v>
      </c>
    </row>
    <row r="14" spans="1:1" x14ac:dyDescent="0.35">
      <c r="A14" s="3" t="s">
        <v>273</v>
      </c>
    </row>
    <row r="15" spans="1:1" x14ac:dyDescent="0.35">
      <c r="A15" s="3" t="s">
        <v>122</v>
      </c>
    </row>
    <row r="16" spans="1:1" x14ac:dyDescent="0.35">
      <c r="A16" s="3" t="s">
        <v>139</v>
      </c>
    </row>
    <row r="17" spans="1:1" x14ac:dyDescent="0.35">
      <c r="A17" s="3" t="s">
        <v>140</v>
      </c>
    </row>
    <row r="18" spans="1:1" x14ac:dyDescent="0.35">
      <c r="A18" s="3" t="s">
        <v>145</v>
      </c>
    </row>
    <row r="19" spans="1:1" x14ac:dyDescent="0.35">
      <c r="A19" s="3" t="s">
        <v>146</v>
      </c>
    </row>
    <row r="20" spans="1:1" x14ac:dyDescent="0.35">
      <c r="A20" s="3" t="s">
        <v>142</v>
      </c>
    </row>
    <row r="21" spans="1:1" x14ac:dyDescent="0.35">
      <c r="A21" s="3" t="s">
        <v>151</v>
      </c>
    </row>
  </sheetData>
  <autoFilter ref="A1:A21" xr:uid="{4C02096D-B800-45F7-9225-66683AC8FB43}">
    <sortState xmlns:xlrd2="http://schemas.microsoft.com/office/spreadsheetml/2017/richdata2" ref="A2:A21">
      <sortCondition ref="A1:A2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B9D3-6DE5-410D-8C4A-FFD6CE8760C6}">
  <dimension ref="A1:E11"/>
  <sheetViews>
    <sheetView workbookViewId="0">
      <selection activeCell="B11" sqref="B11"/>
    </sheetView>
  </sheetViews>
  <sheetFormatPr defaultRowHeight="14.5" x14ac:dyDescent="0.35"/>
  <cols>
    <col min="1" max="1" width="12.90625" bestFit="1" customWidth="1"/>
    <col min="2" max="2" width="38.08984375" bestFit="1" customWidth="1"/>
    <col min="3" max="3" width="52" bestFit="1" customWidth="1"/>
    <col min="5" max="5" width="47.453125" bestFit="1" customWidth="1"/>
  </cols>
  <sheetData>
    <row r="1" spans="1:5" x14ac:dyDescent="0.35">
      <c r="A1" t="s">
        <v>313</v>
      </c>
      <c r="B1" t="s">
        <v>315</v>
      </c>
      <c r="C1" t="s">
        <v>317</v>
      </c>
    </row>
    <row r="2" spans="1:5" x14ac:dyDescent="0.35">
      <c r="A2" t="s">
        <v>314</v>
      </c>
      <c r="B2" t="s">
        <v>315</v>
      </c>
      <c r="C2" t="s">
        <v>316</v>
      </c>
    </row>
    <row r="6" spans="1:5" x14ac:dyDescent="0.35">
      <c r="E6" s="15" t="s">
        <v>322</v>
      </c>
    </row>
    <row r="7" spans="1:5" x14ac:dyDescent="0.35">
      <c r="E7" t="s">
        <v>319</v>
      </c>
    </row>
    <row r="8" spans="1:5" x14ac:dyDescent="0.35">
      <c r="E8" t="s">
        <v>320</v>
      </c>
    </row>
    <row r="9" spans="1:5" x14ac:dyDescent="0.35">
      <c r="B9" s="15" t="s">
        <v>323</v>
      </c>
      <c r="E9" t="s">
        <v>321</v>
      </c>
    </row>
    <row r="10" spans="1:5" x14ac:dyDescent="0.35">
      <c r="B10" t="s">
        <v>326</v>
      </c>
    </row>
    <row r="11" spans="1:5" x14ac:dyDescent="0.35">
      <c r="B11" t="s">
        <v>318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A90F-47AD-4765-90F0-2A1D04B603B5}">
  <dimension ref="A1"/>
  <sheetViews>
    <sheetView workbookViewId="0"/>
  </sheetViews>
  <sheetFormatPr defaultRowHeight="14.5" x14ac:dyDescent="0.35"/>
  <sheetData>
    <row r="1" spans="1:1" x14ac:dyDescent="0.35">
      <c r="A1" t="s">
        <v>327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2643-769A-492E-9676-E2D8963B267A}">
  <dimension ref="A1:A8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t="s">
        <v>324</v>
      </c>
    </row>
    <row r="8" spans="1:1" x14ac:dyDescent="0.35">
      <c r="A8" t="s">
        <v>325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E674-537A-4282-AB4D-6095810181A9}">
  <dimension ref="A1:C13"/>
  <sheetViews>
    <sheetView workbookViewId="0">
      <selection activeCell="A5" sqref="A5"/>
    </sheetView>
  </sheetViews>
  <sheetFormatPr defaultRowHeight="14.5" x14ac:dyDescent="0.35"/>
  <cols>
    <col min="1" max="2" width="31.26953125" bestFit="1" customWidth="1"/>
    <col min="3" max="3" width="8.81640625" bestFit="1" customWidth="1"/>
  </cols>
  <sheetData>
    <row r="1" spans="1:3" x14ac:dyDescent="0.35">
      <c r="A1" t="s">
        <v>338</v>
      </c>
      <c r="B1" t="s">
        <v>339</v>
      </c>
      <c r="C1" t="s">
        <v>340</v>
      </c>
    </row>
    <row r="2" spans="1:3" x14ac:dyDescent="0.35">
      <c r="A2" t="s">
        <v>328</v>
      </c>
      <c r="B2" t="s">
        <v>328</v>
      </c>
      <c r="C2" t="s">
        <v>341</v>
      </c>
    </row>
    <row r="3" spans="1:3" x14ac:dyDescent="0.35">
      <c r="A3" t="s">
        <v>97</v>
      </c>
      <c r="B3" t="s">
        <v>90</v>
      </c>
      <c r="C3" t="s">
        <v>341</v>
      </c>
    </row>
    <row r="4" spans="1:3" x14ac:dyDescent="0.35">
      <c r="A4" t="s">
        <v>329</v>
      </c>
      <c r="B4" t="s">
        <v>329</v>
      </c>
      <c r="C4" t="s">
        <v>341</v>
      </c>
    </row>
    <row r="5" spans="1:3" x14ac:dyDescent="0.35">
      <c r="A5" t="s">
        <v>330</v>
      </c>
      <c r="B5" t="s">
        <v>342</v>
      </c>
      <c r="C5" t="s">
        <v>341</v>
      </c>
    </row>
    <row r="6" spans="1:3" x14ac:dyDescent="0.35">
      <c r="A6" t="s">
        <v>331</v>
      </c>
      <c r="B6" t="s">
        <v>343</v>
      </c>
      <c r="C6" t="s">
        <v>341</v>
      </c>
    </row>
    <row r="7" spans="1:3" x14ac:dyDescent="0.35">
      <c r="A7" t="s">
        <v>332</v>
      </c>
      <c r="B7" t="s">
        <v>332</v>
      </c>
      <c r="C7" t="s">
        <v>341</v>
      </c>
    </row>
    <row r="8" spans="1:3" x14ac:dyDescent="0.35">
      <c r="A8" t="s">
        <v>333</v>
      </c>
      <c r="B8" t="s">
        <v>333</v>
      </c>
      <c r="C8" t="s">
        <v>341</v>
      </c>
    </row>
    <row r="9" spans="1:3" x14ac:dyDescent="0.35">
      <c r="A9" t="s">
        <v>334</v>
      </c>
      <c r="B9" t="s">
        <v>334</v>
      </c>
      <c r="C9" t="s">
        <v>341</v>
      </c>
    </row>
    <row r="10" spans="1:3" x14ac:dyDescent="0.35">
      <c r="A10" t="s">
        <v>83</v>
      </c>
      <c r="B10" t="s">
        <v>55</v>
      </c>
      <c r="C10" t="s">
        <v>341</v>
      </c>
    </row>
    <row r="11" spans="1:3" x14ac:dyDescent="0.35">
      <c r="A11" t="s">
        <v>335</v>
      </c>
      <c r="B11" t="s">
        <v>335</v>
      </c>
      <c r="C11" t="s">
        <v>341</v>
      </c>
    </row>
    <row r="12" spans="1:3" x14ac:dyDescent="0.35">
      <c r="A12" t="s">
        <v>336</v>
      </c>
      <c r="B12" t="s">
        <v>336</v>
      </c>
      <c r="C12" t="s">
        <v>341</v>
      </c>
    </row>
    <row r="13" spans="1:3" x14ac:dyDescent="0.35">
      <c r="A13" t="s">
        <v>337</v>
      </c>
      <c r="B13" t="s">
        <v>337</v>
      </c>
      <c r="C13" t="s">
        <v>341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Measures</vt:lpstr>
      <vt:lpstr>FACT_EAP_GRP_SUBGRP  </vt:lpstr>
      <vt:lpstr>FACT_EAP_MBR_INCDNT_DTL</vt:lpstr>
      <vt:lpstr>Sheet2</vt:lpstr>
      <vt:lpstr>FACT_EAP_SRVY_DTL</vt:lpstr>
      <vt:lpstr>Column used in srvy table</vt:lpstr>
      <vt:lpstr>Modeling</vt:lpstr>
      <vt:lpstr>Sheet6</vt:lpstr>
      <vt:lpstr>Reporting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Rakhunde, Rahul</dc:creator>
  <cp:lastModifiedBy>Rakhunde, Rahul</cp:lastModifiedBy>
  <dcterms:created xsi:type="dcterms:W3CDTF">2026-08-06T16:11:33Z</dcterms:created>
  <dcterms:modified xsi:type="dcterms:W3CDTF">2026-09-01T05:22:16Z</dcterms:modified>
</cp:coreProperties>
</file>